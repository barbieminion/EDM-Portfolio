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8.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Ex1.xml" ContentType="application/vnd.ms-office.chartex+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defaultThemeVersion="202300"/>
  <mc:AlternateContent xmlns:mc="http://schemas.openxmlformats.org/markup-compatibility/2006">
    <mc:Choice Requires="x15">
      <x15ac:absPath xmlns:x15ac="http://schemas.microsoft.com/office/spreadsheetml/2010/11/ac" url="C:\Users\Dana Mae Carbonel\Documents\Personal Things\EDM 1st Year Excel\"/>
    </mc:Choice>
  </mc:AlternateContent>
  <xr:revisionPtr revIDLastSave="0" documentId="13_ncr:1_{8EAA5022-1917-4D1A-9A20-33506B9EDE7B}" xr6:coauthVersionLast="47" xr6:coauthVersionMax="47" xr10:uidLastSave="{00000000-0000-0000-0000-000000000000}"/>
  <bookViews>
    <workbookView xWindow="-120" yWindow="-120" windowWidth="29040" windowHeight="15720" firstSheet="8" activeTab="8" xr2:uid="{4C52A6F3-801C-4E81-8C99-D7FCC0B9498C}"/>
  </bookViews>
  <sheets>
    <sheet name="States" sheetId="6" state="hidden" r:id="rId1"/>
    <sheet name="Sal by State" sheetId="5" state="hidden" r:id="rId2"/>
    <sheet name="Sal By Role Type" sheetId="4" state="hidden" r:id="rId3"/>
    <sheet name="Sal by Role Size" sheetId="3" state="hidden" r:id="rId4"/>
    <sheet name="Sal by Sector" sheetId="10" state="hidden" r:id="rId5"/>
    <sheet name="Job Title by Sector" sheetId="9" state="hidden" r:id="rId6"/>
    <sheet name="Cleaned Data" sheetId="2" state="hidden" r:id="rId7"/>
    <sheet name="Analysis" sheetId="7" state="hidden" r:id="rId8"/>
    <sheet name="Dashboard" sheetId="8" r:id="rId9"/>
  </sheets>
  <definedNames>
    <definedName name="_xlchart.v5.0" hidden="1">'Sal by State'!$A$1</definedName>
    <definedName name="_xlchart.v5.1" hidden="1">'Sal by State'!$A$2:$A$40</definedName>
    <definedName name="_xlchart.v5.2" hidden="1">'Sal by State'!$B$1</definedName>
    <definedName name="_xlchart.v5.3" hidden="1">'Sal by State'!$B$2:$B$40</definedName>
    <definedName name="_xleta.MATCH" hidden="1" xlm="1">#NAME?</definedName>
    <definedName name="ExternalData_1" localSheetId="6" hidden="1">'Cleaned Data'!$A$1:$R$646</definedName>
    <definedName name="ExternalData_2" localSheetId="5" hidden="1">'Job Title by Sector'!$A$1:$C$133</definedName>
    <definedName name="ExternalData_2" localSheetId="3" hidden="1">'Sal by Role Size'!$B$1:$F$9</definedName>
    <definedName name="ExternalData_3" localSheetId="2" hidden="1">'Sal By Role Type'!$A$1:$D$6</definedName>
    <definedName name="ExternalData_3" localSheetId="4" hidden="1">'Sal by Sector'!$A$1:$D$24</definedName>
    <definedName name="ExternalData_4" localSheetId="1" hidden="1">'Sal by State'!$A$1:$D$40</definedName>
    <definedName name="ExternalData_5" localSheetId="0" hidden="1">States!$A$1:$B$53</definedName>
    <definedName name="Slicer_Combine">#N/A</definedName>
    <definedName name="Slicer_Full_State_Name">#N/A</definedName>
    <definedName name="Slicer_Role_Type">#N/A</definedName>
    <definedName name="Slicer_Sector">#N/A</definedName>
  </definedNames>
  <calcPr calcId="191029"/>
  <pivotCaches>
    <pivotCache cacheId="0" r:id="rId10"/>
    <pivotCache cacheId="1" r:id="rId11"/>
    <pivotCache cacheId="2" r:id="rId12"/>
    <pivotCache cacheId="3" r:id="rId13"/>
    <pivotCache cacheId="4" r:id="rId14"/>
  </pivotCaches>
  <extLst>
    <ext xmlns:x14="http://schemas.microsoft.com/office/spreadsheetml/2009/9/main" uri="{BBE1A952-AA13-448e-AADC-164F8A28A991}">
      <x14:slicerCaches>
        <x14:slicerCache r:id="rId15"/>
        <x14:slicerCache r:id="rId16"/>
        <x14:slicerCache r:id="rId17"/>
        <x14:slicerCache r:id="rId1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84" i="8" l="1" a="1"/>
  <c r="D84" i="8" s="1"/>
  <c r="A3" i="3"/>
  <c r="A4" i="3"/>
  <c r="A5" i="3"/>
  <c r="A6" i="3"/>
  <c r="A7" i="3"/>
  <c r="A8" i="3"/>
  <c r="A2"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C601015-FDEC-4DFC-AAAD-BFE7631B591C}" keepAlive="1" name="Query - Cleaned Data" description="Connection to the 'Cleaned Data' query in the workbook." type="5" refreshedVersion="8" background="1" saveData="1">
    <dbPr connection="Provider=Microsoft.Mashup.OleDb.1;Data Source=$Workbook$;Location=&quot;Cleaned Data&quot;;Extended Properties=&quot;&quot;" command="SELECT * FROM [Cleaned Data]"/>
  </connection>
  <connection id="2" xr16:uid="{C547D56D-6262-4E05-931E-13CAC38345B3}" keepAlive="1" name="Query - Sal by Role Size" description="Connection to the 'Sal by Role Size' query in the workbook." type="5" refreshedVersion="8" background="1" saveData="1">
    <dbPr connection="Provider=Microsoft.Mashup.OleDb.1;Data Source=$Workbook$;Location=&quot;Sal by Role Size&quot;;Extended Properties=&quot;&quot;" command="SELECT * FROM [Sal by Role Size]"/>
  </connection>
  <connection id="3" xr16:uid="{8CE8AB49-4BBE-46BD-A399-2DEB50B22378}" keepAlive="1" name="Query - Sal By Role Type" description="Connection to the 'Sal By Role Type' query in the workbook." type="5" refreshedVersion="8" background="1" saveData="1">
    <dbPr connection="Provider=Microsoft.Mashup.OleDb.1;Data Source=$Workbook$;Location=&quot;Sal By Role Type&quot;;Extended Properties=&quot;&quot;" command="SELECT * FROM [Sal By Role Type]"/>
  </connection>
  <connection id="4" xr16:uid="{361AA814-3E11-41C2-89E8-0AC3797FCABF}" keepAlive="1" name="Query - Sal by Sector" description="Connection to the 'Sal by Sector' query in the workbook." type="5" refreshedVersion="8" background="1" saveData="1">
    <dbPr connection="Provider=Microsoft.Mashup.OleDb.1;Data Source=$Workbook$;Location=&quot;Sal by Sector&quot;;Extended Properties=&quot;&quot;" command="SELECT * FROM [Sal by Sector]"/>
  </connection>
  <connection id="5" xr16:uid="{67691679-BDFF-4C3B-9BE7-4261296742F3}" keepAlive="1" name="Query - Sal by State" description="Connection to the 'Sal by State' query in the workbook." type="5" refreshedVersion="8" background="1" saveData="1">
    <dbPr connection="Provider=Microsoft.Mashup.OleDb.1;Data Source=$Workbook$;Location=&quot;Sal by State&quot;;Extended Properties=&quot;&quot;" command="SELECT * FROM [Sal by State]"/>
  </connection>
  <connection id="6" xr16:uid="{BC80E1DA-5F81-4338-BFD5-19836716B812}" keepAlive="1" name="Query - Sector Employs" description="Connection to the 'Sector Employs' query in the workbook." type="5" refreshedVersion="8" background="1" saveData="1">
    <dbPr connection="Provider=Microsoft.Mashup.OleDb.1;Data Source=$Workbook$;Location=&quot;Sector Employs&quot;;Extended Properties=&quot;&quot;" command="SELECT * FROM [Sector Employs]"/>
  </connection>
  <connection id="7" xr16:uid="{EAC81E02-D08C-433D-8917-03F7F9DE02D7}" keepAlive="1" name="Query - States" description="Connection to the 'States' query in the workbook." type="5" refreshedVersion="8" background="1" saveData="1">
    <dbPr connection="Provider=Microsoft.Mashup.OleDb.1;Data Source=$Workbook$;Location=States;Extended Properties=&quot;&quot;" command="SELECT * FROM [State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<sst xmlns="http://schemas.openxmlformats.org/spreadsheetml/2006/main" count="8833" uniqueCount="1205">
  <si>
    <t>index</t>
  </si>
  <si>
    <t>Role Type</t>
  </si>
  <si>
    <t>Min Salary</t>
  </si>
  <si>
    <t>Max Salary</t>
  </si>
  <si>
    <t>Rating</t>
  </si>
  <si>
    <t>Company Name</t>
  </si>
  <si>
    <t>Location</t>
  </si>
  <si>
    <t>State Abbreviations</t>
  </si>
  <si>
    <t>Full State Name</t>
  </si>
  <si>
    <t>Headquarters</t>
  </si>
  <si>
    <t>Min Size Company</t>
  </si>
  <si>
    <t>Max Size Company</t>
  </si>
  <si>
    <t>Founded</t>
  </si>
  <si>
    <t>Type of ownership</t>
  </si>
  <si>
    <t>Industry</t>
  </si>
  <si>
    <t>Sector</t>
  </si>
  <si>
    <t>Revenue</t>
  </si>
  <si>
    <t>Competitors</t>
  </si>
  <si>
    <t>Data Scientist</t>
  </si>
  <si>
    <t>Healthfirst</t>
  </si>
  <si>
    <t>New York</t>
  </si>
  <si>
    <t>NY</t>
  </si>
  <si>
    <t>New York, NY</t>
  </si>
  <si>
    <t>1001</t>
  </si>
  <si>
    <t>Nonprofit Organization</t>
  </si>
  <si>
    <t>Insurance Carriers</t>
  </si>
  <si>
    <t>Insurance</t>
  </si>
  <si>
    <t>Unknown / Non-Applicable</t>
  </si>
  <si>
    <t>EmblemHealth, UnitedHealth Group, Aetna</t>
  </si>
  <si>
    <t>Affinity Solutions</t>
  </si>
  <si>
    <t>51</t>
  </si>
  <si>
    <t>Company - Private</t>
  </si>
  <si>
    <t>Advertising &amp; Marketing</t>
  </si>
  <si>
    <t>Business Services</t>
  </si>
  <si>
    <t>Commerce Signals, Cardlytics, Yodlee</t>
  </si>
  <si>
    <t>Triplebyte</t>
  </si>
  <si>
    <t>San Francisco, CA</t>
  </si>
  <si>
    <t>Computer Hardware &amp; Software</t>
  </si>
  <si>
    <t>Information Technology</t>
  </si>
  <si>
    <t>Others</t>
  </si>
  <si>
    <t>PulsePoint</t>
  </si>
  <si>
    <t>Internet</t>
  </si>
  <si>
    <t>$100 to $500 million (USD)</t>
  </si>
  <si>
    <t>Crossix Solutions Inc., AppNexus, The Trade Desk</t>
  </si>
  <si>
    <t>ManTech</t>
  </si>
  <si>
    <t>Chantilly</t>
  </si>
  <si>
    <t>VA</t>
  </si>
  <si>
    <t>Virginia</t>
  </si>
  <si>
    <t>Herndon, VA</t>
  </si>
  <si>
    <t>5001</t>
  </si>
  <si>
    <t>Company - Public</t>
  </si>
  <si>
    <t>Research &amp; Development</t>
  </si>
  <si>
    <t>$1 to $2 billion (USD)</t>
  </si>
  <si>
    <t>Novetta</t>
  </si>
  <si>
    <t>Herndon</t>
  </si>
  <si>
    <t>Mc Lean, VA</t>
  </si>
  <si>
    <t>501</t>
  </si>
  <si>
    <t>Enterprise Software &amp; Network Solutions</t>
  </si>
  <si>
    <t>Leidos, CACI International, Booz Allen Hamilton</t>
  </si>
  <si>
    <t>Kingfisher Systems</t>
  </si>
  <si>
    <t>McLean</t>
  </si>
  <si>
    <t>Falls Church, VA</t>
  </si>
  <si>
    <t>Federal Agencies</t>
  </si>
  <si>
    <t>Government</t>
  </si>
  <si>
    <t>$25 to $50 million (USD)</t>
  </si>
  <si>
    <t>Great-Circle Technologies</t>
  </si>
  <si>
    <t>Chantilly, VA</t>
  </si>
  <si>
    <t>1</t>
  </si>
  <si>
    <t>$1 to $5 million (USD)</t>
  </si>
  <si>
    <t>Analysis Group</t>
  </si>
  <si>
    <t>Boston</t>
  </si>
  <si>
    <t>MA</t>
  </si>
  <si>
    <t>Massachusetts</t>
  </si>
  <si>
    <t>Boston, MA</t>
  </si>
  <si>
    <t>Private Practice / Firm</t>
  </si>
  <si>
    <t>Consulting</t>
  </si>
  <si>
    <t>INFICON</t>
  </si>
  <si>
    <t>Newton</t>
  </si>
  <si>
    <t>Bad Ragaz, Switzerland</t>
  </si>
  <si>
    <t>Electrical &amp; Electronic Manufacturing</t>
  </si>
  <si>
    <t>Manufacturing</t>
  </si>
  <si>
    <t>MKS Instruments, Pfeiffer Vacuum, Agilent Technologies</t>
  </si>
  <si>
    <t>Novartis</t>
  </si>
  <si>
    <t>Cambridge</t>
  </si>
  <si>
    <t>Basel, Switzerland</t>
  </si>
  <si>
    <t>10000+</t>
  </si>
  <si>
    <t>Biotech &amp; Pharmaceuticals</t>
  </si>
  <si>
    <t>$10+ billion (USD)</t>
  </si>
  <si>
    <t>iRobot</t>
  </si>
  <si>
    <t>Bedford</t>
  </si>
  <si>
    <t>Bedford, MA</t>
  </si>
  <si>
    <t>Consumer Electronics &amp; Appliances Stores</t>
  </si>
  <si>
    <t>Retail</t>
  </si>
  <si>
    <t>MIT Lincoln Laboratory</t>
  </si>
  <si>
    <t>Lexington</t>
  </si>
  <si>
    <t>Lexington, MA</t>
  </si>
  <si>
    <t>Aerospace &amp; Defense</t>
  </si>
  <si>
    <t>Cohere Health</t>
  </si>
  <si>
    <t>IT Services</t>
  </si>
  <si>
    <t>Data Analyst</t>
  </si>
  <si>
    <t>Cambridge Associates, LLC</t>
  </si>
  <si>
    <t>Investment Banking &amp; Asset Management</t>
  </si>
  <si>
    <t>Finance</t>
  </si>
  <si>
    <t>Machine Learning Engineer</t>
  </si>
  <si>
    <t>Pfizer</t>
  </si>
  <si>
    <t>Klaviyo</t>
  </si>
  <si>
    <t>201</t>
  </si>
  <si>
    <t>Quick Base</t>
  </si>
  <si>
    <t>Cambridge, MA</t>
  </si>
  <si>
    <t>Takeda</t>
  </si>
  <si>
    <t>OSAKA, Japan</t>
  </si>
  <si>
    <t>Novartis, Baxter, Pfizer</t>
  </si>
  <si>
    <t>other</t>
  </si>
  <si>
    <t>Exponent</t>
  </si>
  <si>
    <t>Phoenix</t>
  </si>
  <si>
    <t>AZ</t>
  </si>
  <si>
    <t>Arizona</t>
  </si>
  <si>
    <t>Menlo Park, CA</t>
  </si>
  <si>
    <t>HG Insights</t>
  </si>
  <si>
    <t>Santa Barbara</t>
  </si>
  <si>
    <t>CA</t>
  </si>
  <si>
    <t>California</t>
  </si>
  <si>
    <t>Santa Barbara, CA</t>
  </si>
  <si>
    <t>Intuit - Data</t>
  </si>
  <si>
    <t>San Diego</t>
  </si>
  <si>
    <t>Mountain View, CA</t>
  </si>
  <si>
    <t>$2 to $5 billion (USD)</t>
  </si>
  <si>
    <t>Square, PayPal, H&amp;R Block</t>
  </si>
  <si>
    <t>Formation</t>
  </si>
  <si>
    <t>San Francisco</t>
  </si>
  <si>
    <t>Edmunds.com</t>
  </si>
  <si>
    <t>Santa Monica</t>
  </si>
  <si>
    <t>Santa Monica, CA</t>
  </si>
  <si>
    <t>TrueCar, Cars.com, Kelley Blue Book</t>
  </si>
  <si>
    <t>Arsenal Biosciences</t>
  </si>
  <si>
    <t>South San Francisco</t>
  </si>
  <si>
    <t>South San Francisco, CA</t>
  </si>
  <si>
    <t>Eversight</t>
  </si>
  <si>
    <t>Palo Alto</t>
  </si>
  <si>
    <t>Palo Alto, CA</t>
  </si>
  <si>
    <t>$10 to $25 million (USD)</t>
  </si>
  <si>
    <t>GovTech</t>
  </si>
  <si>
    <t>Singapore, Singapore</t>
  </si>
  <si>
    <t>Giving Assistant</t>
  </si>
  <si>
    <t>Mathematica Policy Research</t>
  </si>
  <si>
    <t>Washington</t>
  </si>
  <si>
    <t>DC</t>
  </si>
  <si>
    <t>District of Columbia</t>
  </si>
  <si>
    <t>Princeton, NJ</t>
  </si>
  <si>
    <t>Guzman &amp; Griffin Technologies (GGTI)</t>
  </si>
  <si>
    <t>Mays Landing, NJ</t>
  </si>
  <si>
    <t>XSELL Technologies</t>
  </si>
  <si>
    <t>Chicago</t>
  </si>
  <si>
    <t>IL</t>
  </si>
  <si>
    <t>Illinois</t>
  </si>
  <si>
    <t>Chicago, IL</t>
  </si>
  <si>
    <t>Old World Industries</t>
  </si>
  <si>
    <t>Northbrook</t>
  </si>
  <si>
    <t>Northbrook, IL</t>
  </si>
  <si>
    <t>Chemical Manufacturing</t>
  </si>
  <si>
    <t>Spectrum Communications and Consulting</t>
  </si>
  <si>
    <t>LSQ</t>
  </si>
  <si>
    <t>Orlando</t>
  </si>
  <si>
    <t>FL</t>
  </si>
  <si>
    <t>Florida</t>
  </si>
  <si>
    <t>Orlando, FL</t>
  </si>
  <si>
    <t>Oversight Systems</t>
  </si>
  <si>
    <t>Atlanta</t>
  </si>
  <si>
    <t>GA</t>
  </si>
  <si>
    <t>Georgia</t>
  </si>
  <si>
    <t>Atlanta, GA</t>
  </si>
  <si>
    <t>1904labs</t>
  </si>
  <si>
    <t>Saint Louis</t>
  </si>
  <si>
    <t>MO</t>
  </si>
  <si>
    <t>Missouri</t>
  </si>
  <si>
    <t>Saint Louis, MO</t>
  </si>
  <si>
    <t>Slalom, Daugherty Business Solutions</t>
  </si>
  <si>
    <t>PNNL</t>
  </si>
  <si>
    <t>Richland</t>
  </si>
  <si>
    <t>WA</t>
  </si>
  <si>
    <t>Richland, WA</t>
  </si>
  <si>
    <t>Energy</t>
  </si>
  <si>
    <t>Oil, Gas, Energy &amp; Utilities</t>
  </si>
  <si>
    <t>$500 million to $1 billion (USD)</t>
  </si>
  <si>
    <t>Oak Ridge National Laboratory, National Renewable Energy Lab, Los Alamos National Laboratory</t>
  </si>
  <si>
    <t>Puget Sound Energy</t>
  </si>
  <si>
    <t>Bothell</t>
  </si>
  <si>
    <t>Bellevue, WA</t>
  </si>
  <si>
    <t>Utilities</t>
  </si>
  <si>
    <t>Intellectual Ventures</t>
  </si>
  <si>
    <t>Bellevue</t>
  </si>
  <si>
    <t>Upside Business Travel</t>
  </si>
  <si>
    <t/>
  </si>
  <si>
    <t>Other</t>
  </si>
  <si>
    <t>Washington, DC</t>
  </si>
  <si>
    <t>Data Engineer</t>
  </si>
  <si>
    <t>Chef</t>
  </si>
  <si>
    <t>Seattle, WA</t>
  </si>
  <si>
    <t>$50 to $100 million (USD)</t>
  </si>
  <si>
    <t>Puppet, Ansible, SaltStack</t>
  </si>
  <si>
    <t>A Place for Mom</t>
  </si>
  <si>
    <t>Overland Park</t>
  </si>
  <si>
    <t>KS</t>
  </si>
  <si>
    <t>Kansas</t>
  </si>
  <si>
    <t>Health Care Services &amp; Hospitals</t>
  </si>
  <si>
    <t>Health Care</t>
  </si>
  <si>
    <t>Enlivant, Sunrise Senior Living, Brookdale Senior Living</t>
  </si>
  <si>
    <t>Buckman</t>
  </si>
  <si>
    <t>Memphis</t>
  </si>
  <si>
    <t>TN</t>
  </si>
  <si>
    <t>Tennessee</t>
  </si>
  <si>
    <t>Memphis, TN</t>
  </si>
  <si>
    <t>Insight Enterprises, Inc.</t>
  </si>
  <si>
    <t>Plano</t>
  </si>
  <si>
    <t>TX</t>
  </si>
  <si>
    <t>Texas</t>
  </si>
  <si>
    <t>Tempe, AZ</t>
  </si>
  <si>
    <t>$5 to $10 billion (USD)</t>
  </si>
  <si>
    <t>CDW, PCM, SHI International</t>
  </si>
  <si>
    <t>Tower Health</t>
  </si>
  <si>
    <t>West Grove</t>
  </si>
  <si>
    <t>PA</t>
  </si>
  <si>
    <t>Pennsylvania</t>
  </si>
  <si>
    <t>Reading, PA</t>
  </si>
  <si>
    <t>Guardian Life</t>
  </si>
  <si>
    <t>Appleton</t>
  </si>
  <si>
    <t>WI</t>
  </si>
  <si>
    <t>Wisconsin</t>
  </si>
  <si>
    <t>Northwestern Mutual</t>
  </si>
  <si>
    <t>Acuity Insurance</t>
  </si>
  <si>
    <t>Sheboygan</t>
  </si>
  <si>
    <t>Sheboygan, WI</t>
  </si>
  <si>
    <t>Sandhills Global</t>
  </si>
  <si>
    <t>Lincoln</t>
  </si>
  <si>
    <t>NE</t>
  </si>
  <si>
    <t>Nebraska</t>
  </si>
  <si>
    <t>Lincoln, NE</t>
  </si>
  <si>
    <t>Liberty Mutual Insurance</t>
  </si>
  <si>
    <t>Portsmouth</t>
  </si>
  <si>
    <t>NH</t>
  </si>
  <si>
    <t>New Hampshire</t>
  </si>
  <si>
    <t>Travelers, Allstate, State Farm</t>
  </si>
  <si>
    <t>Cenlar</t>
  </si>
  <si>
    <t>Ewing</t>
  </si>
  <si>
    <t>NJ</t>
  </si>
  <si>
    <t>New Jersey</t>
  </si>
  <si>
    <t>Ewing, NJ</t>
  </si>
  <si>
    <t>Netskope</t>
  </si>
  <si>
    <t>Santa Clara, CA</t>
  </si>
  <si>
    <t>Skyhigh Networks, Zscaler, NortonLifeLock</t>
  </si>
  <si>
    <t>IT Concepts</t>
  </si>
  <si>
    <t>Vienna, VA</t>
  </si>
  <si>
    <t>iSeatz</t>
  </si>
  <si>
    <t>New Orleans</t>
  </si>
  <si>
    <t>LA</t>
  </si>
  <si>
    <t>Louisiana</t>
  </si>
  <si>
    <t>New Orleans, LA</t>
  </si>
  <si>
    <t>Summa Health System</t>
  </si>
  <si>
    <t>Akron</t>
  </si>
  <si>
    <t>OH</t>
  </si>
  <si>
    <t>Ohio</t>
  </si>
  <si>
    <t>Akron, OH</t>
  </si>
  <si>
    <t>Benson Hill</t>
  </si>
  <si>
    <t>Twitter</t>
  </si>
  <si>
    <t>Facebook, Google, Pinterest</t>
  </si>
  <si>
    <t>Postmates - Corporate HQ</t>
  </si>
  <si>
    <t>Express Delivery Services</t>
  </si>
  <si>
    <t>Transportation &amp; Logistics</t>
  </si>
  <si>
    <t>DoorDash, Uber, Grubhub</t>
  </si>
  <si>
    <t>Envision LLC</t>
  </si>
  <si>
    <t>Staffing &amp; Outsourcing</t>
  </si>
  <si>
    <t>Swiss Re</t>
  </si>
  <si>
    <t>Fort Wayne</t>
  </si>
  <si>
    <t>IN</t>
  </si>
  <si>
    <t>Indiana</t>
  </si>
  <si>
    <t>Zurich, Switzerland</t>
  </si>
  <si>
    <t>Insurance Agencies &amp; Brokerages</t>
  </si>
  <si>
    <t>Munich Re, Hannover RE, SCOR</t>
  </si>
  <si>
    <t>Systems &amp; Technology Research</t>
  </si>
  <si>
    <t>Woburn</t>
  </si>
  <si>
    <t>Woburn, MA</t>
  </si>
  <si>
    <t>Dermalogica</t>
  </si>
  <si>
    <t>Carson</t>
  </si>
  <si>
    <t>Carson, CA</t>
  </si>
  <si>
    <t>Subsidiary or Business Segment</t>
  </si>
  <si>
    <t>Consumer Products Manufacturing</t>
  </si>
  <si>
    <t>IMAGE Skincare, Aveda, Kiehl's</t>
  </si>
  <si>
    <t>Bayview Asset Management</t>
  </si>
  <si>
    <t>Coral Gables</t>
  </si>
  <si>
    <t>Coral Gables, FL</t>
  </si>
  <si>
    <t>Via Transportation</t>
  </si>
  <si>
    <t>Grid Dynamics</t>
  </si>
  <si>
    <t>Santa Clara</t>
  </si>
  <si>
    <t>San Ramon, CA</t>
  </si>
  <si>
    <t>Luxoft, EPAM, Capgemini Invent</t>
  </si>
  <si>
    <t>Tempus Labs</t>
  </si>
  <si>
    <t>CareDx</t>
  </si>
  <si>
    <t>Brisbane</t>
  </si>
  <si>
    <t>Brisbane, CA</t>
  </si>
  <si>
    <t>Sequenom</t>
  </si>
  <si>
    <t>IZEA</t>
  </si>
  <si>
    <t>Winter Park</t>
  </si>
  <si>
    <t>Winter Park, FL</t>
  </si>
  <si>
    <t>Linqia, Collective Bias</t>
  </si>
  <si>
    <t>Redwood City</t>
  </si>
  <si>
    <t>Autodesk</t>
  </si>
  <si>
    <t>San Rafael, CA</t>
  </si>
  <si>
    <t>Caterpillar</t>
  </si>
  <si>
    <t>Peoria</t>
  </si>
  <si>
    <t>Deerfield, IL</t>
  </si>
  <si>
    <t>Industrial Manufacturing</t>
  </si>
  <si>
    <t>John Deere, Komatsu, CNH Industrial</t>
  </si>
  <si>
    <t>New England Biolabs</t>
  </si>
  <si>
    <t>Ipswich</t>
  </si>
  <si>
    <t>Ipswich, MA</t>
  </si>
  <si>
    <t>Thermo Fisher Scientific, Enzymatics, Illumina</t>
  </si>
  <si>
    <t>Allied Solutions</t>
  </si>
  <si>
    <t>Carmel</t>
  </si>
  <si>
    <t>Carmel, IN</t>
  </si>
  <si>
    <t>CUNA Mutual, SWBC, Overby-Seawell</t>
  </si>
  <si>
    <t>The Knot Worldwide</t>
  </si>
  <si>
    <t>Chevy Chase, MD</t>
  </si>
  <si>
    <t>Zola Registry</t>
  </si>
  <si>
    <t>IFG Companies</t>
  </si>
  <si>
    <t>Hartford, CT</t>
  </si>
  <si>
    <t>Colony Specialty, Markel, RLI</t>
  </si>
  <si>
    <t>Amyris</t>
  </si>
  <si>
    <t>Emeryville</t>
  </si>
  <si>
    <t>Emeryville, CA</t>
  </si>
  <si>
    <t>AstraZeneca</t>
  </si>
  <si>
    <t>Gaithersburg</t>
  </si>
  <si>
    <t>MD</t>
  </si>
  <si>
    <t>Maryland</t>
  </si>
  <si>
    <t>Cambridge, United Kingdom</t>
  </si>
  <si>
    <t>Roche, GlaxoSmithKline, Novartis</t>
  </si>
  <si>
    <t>Powertek</t>
  </si>
  <si>
    <t>Rockville, MD</t>
  </si>
  <si>
    <t>Object Partners</t>
  </si>
  <si>
    <t>Minneapolis, MN</t>
  </si>
  <si>
    <t>Solution Design Group, Intertech (Minnesota)</t>
  </si>
  <si>
    <t>The Mom Project</t>
  </si>
  <si>
    <t>Longmont</t>
  </si>
  <si>
    <t>CO</t>
  </si>
  <si>
    <t>Colorado</t>
  </si>
  <si>
    <t>Lightspeed Systems</t>
  </si>
  <si>
    <t>Austin</t>
  </si>
  <si>
    <t>Austin, TX</t>
  </si>
  <si>
    <t>Stripe</t>
  </si>
  <si>
    <t>Braintree, Authorize.Net, PayPal</t>
  </si>
  <si>
    <t>Comprehensive Healthcare</t>
  </si>
  <si>
    <t>Yakima</t>
  </si>
  <si>
    <t>Yakima, WA</t>
  </si>
  <si>
    <t>Fullpower Technologies, Inc.</t>
  </si>
  <si>
    <t>Santa Cruz</t>
  </si>
  <si>
    <t>Santa Cruz, CA</t>
  </si>
  <si>
    <t>Mars</t>
  </si>
  <si>
    <t>Food &amp; Beverage Manufacturing</t>
  </si>
  <si>
    <t>NuWave Solutions</t>
  </si>
  <si>
    <t>Springfield</t>
  </si>
  <si>
    <t>$5 to $10 million (USD)</t>
  </si>
  <si>
    <t>Alexandria</t>
  </si>
  <si>
    <t>Merrick Bank</t>
  </si>
  <si>
    <t>UT</t>
  </si>
  <si>
    <t>Utah</t>
  </si>
  <si>
    <t>South Jordan, UT</t>
  </si>
  <si>
    <t>Banks &amp; Credit Unions</t>
  </si>
  <si>
    <t>QOMPLX</t>
  </si>
  <si>
    <t>Reston</t>
  </si>
  <si>
    <t>Reston, VA</t>
  </si>
  <si>
    <t>GutCheck</t>
  </si>
  <si>
    <t>Denver</t>
  </si>
  <si>
    <t>Denver, CO</t>
  </si>
  <si>
    <t>Nielsen, Zappi, SurveyMonkey</t>
  </si>
  <si>
    <t>Inter-American Development Bank</t>
  </si>
  <si>
    <t>Other Organization</t>
  </si>
  <si>
    <t>The World Bank, IMF</t>
  </si>
  <si>
    <t>Avlino</t>
  </si>
  <si>
    <t>Holmdel, NJ</t>
  </si>
  <si>
    <t>Less than $1 million (USD)</t>
  </si>
  <si>
    <t>Stratagem Group</t>
  </si>
  <si>
    <t>Aurora</t>
  </si>
  <si>
    <t>Aurora, CO</t>
  </si>
  <si>
    <t>Evidation</t>
  </si>
  <si>
    <t>San Mateo, CA</t>
  </si>
  <si>
    <t>Tecolote Research</t>
  </si>
  <si>
    <t>Hill AFB</t>
  </si>
  <si>
    <t>Goleta, CA</t>
  </si>
  <si>
    <t>Tivity Health</t>
  </si>
  <si>
    <t>Chandler</t>
  </si>
  <si>
    <t>Franklin, TN</t>
  </si>
  <si>
    <t>hc1</t>
  </si>
  <si>
    <t>Indianapolis</t>
  </si>
  <si>
    <t>Indianapolis, IN</t>
  </si>
  <si>
    <t>HP Inc.</t>
  </si>
  <si>
    <t>SAIC</t>
  </si>
  <si>
    <t>Booz Allen Hamilton, CACI International</t>
  </si>
  <si>
    <t>AllianceBernstein</t>
  </si>
  <si>
    <t>Nashville</t>
  </si>
  <si>
    <t>Big Huge Games</t>
  </si>
  <si>
    <t>Timonium</t>
  </si>
  <si>
    <t>Lutherville Timonium, MD</t>
  </si>
  <si>
    <t>Video Games</t>
  </si>
  <si>
    <t>Media</t>
  </si>
  <si>
    <t>Maxar Technologies</t>
  </si>
  <si>
    <t>Westminster, CO</t>
  </si>
  <si>
    <t>Phantom AI</t>
  </si>
  <si>
    <t>Burlingame</t>
  </si>
  <si>
    <t>Burlingame, CA</t>
  </si>
  <si>
    <t>Noblis</t>
  </si>
  <si>
    <t>Booz Allen Hamilton, SAIC, LMI</t>
  </si>
  <si>
    <t>Spring Health</t>
  </si>
  <si>
    <t>ClearEdge</t>
  </si>
  <si>
    <t>Annapolis Junction</t>
  </si>
  <si>
    <t>Annapolis Junction, MD</t>
  </si>
  <si>
    <t>GetWellNetwork</t>
  </si>
  <si>
    <t>Bethesda</t>
  </si>
  <si>
    <t>Bethesda, MD</t>
  </si>
  <si>
    <t>Epic, CipherHealth</t>
  </si>
  <si>
    <t>TACG Solutions</t>
  </si>
  <si>
    <t>Dayton</t>
  </si>
  <si>
    <t>Beavercreek, OH</t>
  </si>
  <si>
    <t>Copper River Shared Services, Chenega Corporation, Deloitte</t>
  </si>
  <si>
    <t>Scoop</t>
  </si>
  <si>
    <t>Montway Inc</t>
  </si>
  <si>
    <t>Schaumburg</t>
  </si>
  <si>
    <t>Schaumburg, IL</t>
  </si>
  <si>
    <t>Shipping</t>
  </si>
  <si>
    <t>Juniper Networks</t>
  </si>
  <si>
    <t>Cupertino</t>
  </si>
  <si>
    <t>Sunnyvale, CA</t>
  </si>
  <si>
    <t>Telecommunications Services</t>
  </si>
  <si>
    <t>Telecommunications</t>
  </si>
  <si>
    <t>Notion Labs</t>
  </si>
  <si>
    <t>Lendio</t>
  </si>
  <si>
    <t>Lehi</t>
  </si>
  <si>
    <t>Lehi, UT</t>
  </si>
  <si>
    <t>Lending</t>
  </si>
  <si>
    <t>Direct Agents</t>
  </si>
  <si>
    <t>Culver City</t>
  </si>
  <si>
    <t>NAVEX Global</t>
  </si>
  <si>
    <t>Lake Oswego</t>
  </si>
  <si>
    <t>OR</t>
  </si>
  <si>
    <t>Oregon</t>
  </si>
  <si>
    <t>Lake Oswego, OR</t>
  </si>
  <si>
    <t>Upstart</t>
  </si>
  <si>
    <t>San Mateo</t>
  </si>
  <si>
    <t>AppLovin</t>
  </si>
  <si>
    <t>ISO New England</t>
  </si>
  <si>
    <t>Holyoke</t>
  </si>
  <si>
    <t>Holyoke, MA</t>
  </si>
  <si>
    <t>Relativity</t>
  </si>
  <si>
    <t>Tempo Automation</t>
  </si>
  <si>
    <t>MITRE</t>
  </si>
  <si>
    <t>Battelle, General Atomics, SAIC</t>
  </si>
  <si>
    <t>Expedition Technology, Inc.</t>
  </si>
  <si>
    <t>Dulles, VA</t>
  </si>
  <si>
    <t>Evidera</t>
  </si>
  <si>
    <t>IQVIA, ICON</t>
  </si>
  <si>
    <t>Plymouth Rock Assurance</t>
  </si>
  <si>
    <t>Woodbridge</t>
  </si>
  <si>
    <t>Arbella Insurance, Safety Insurance</t>
  </si>
  <si>
    <t>Crown Bioscience</t>
  </si>
  <si>
    <t>San Diego, CA</t>
  </si>
  <si>
    <t>GNS Healthcare</t>
  </si>
  <si>
    <t>OneMagnify</t>
  </si>
  <si>
    <t>Dearborn</t>
  </si>
  <si>
    <t>MI</t>
  </si>
  <si>
    <t>Michigan</t>
  </si>
  <si>
    <t>Detroit, MI</t>
  </si>
  <si>
    <t>SPECTRUM</t>
  </si>
  <si>
    <t>Maryland Heights</t>
  </si>
  <si>
    <t>Stamford, CT</t>
  </si>
  <si>
    <t>Cable, Internet &amp; Telephone Providers</t>
  </si>
  <si>
    <t>Advanced BioScience Laboratories</t>
  </si>
  <si>
    <t>Rockville</t>
  </si>
  <si>
    <t>Procore Technologies</t>
  </si>
  <si>
    <t>Carpinteria</t>
  </si>
  <si>
    <t>Carpinteria, CA</t>
  </si>
  <si>
    <t>Ritedose</t>
  </si>
  <si>
    <t>Columbia</t>
  </si>
  <si>
    <t>SC</t>
  </si>
  <si>
    <t>South Carolina</t>
  </si>
  <si>
    <t>Columbia, SC</t>
  </si>
  <si>
    <t>bioMérieux</t>
  </si>
  <si>
    <t>Marcy-l'Etoile, France</t>
  </si>
  <si>
    <t>Leidos</t>
  </si>
  <si>
    <t>Fort Meade</t>
  </si>
  <si>
    <t>Demandbase</t>
  </si>
  <si>
    <t>Engagio, Bombora, Terminus</t>
  </si>
  <si>
    <t>Shelter Insurance</t>
  </si>
  <si>
    <t>Columbia, MO</t>
  </si>
  <si>
    <t>USAC</t>
  </si>
  <si>
    <t>General Dynamics Information Technology</t>
  </si>
  <si>
    <t>Vicksburg</t>
  </si>
  <si>
    <t>MS</t>
  </si>
  <si>
    <t>Mississippi</t>
  </si>
  <si>
    <t>Fairfax, VA</t>
  </si>
  <si>
    <t>SAIC, Leidos, Northrop Grumman</t>
  </si>
  <si>
    <t>Offerpad</t>
  </si>
  <si>
    <t>Chandler, AZ</t>
  </si>
  <si>
    <t>Real Estate</t>
  </si>
  <si>
    <t>Magna International Inc.</t>
  </si>
  <si>
    <t>Birmingham</t>
  </si>
  <si>
    <t>AL</t>
  </si>
  <si>
    <t>Alabama</t>
  </si>
  <si>
    <t>Aurora, Canada</t>
  </si>
  <si>
    <t>Bosch, Lear Corporation, Faurecia</t>
  </si>
  <si>
    <t>United BioSource</t>
  </si>
  <si>
    <t>Blue Bell</t>
  </si>
  <si>
    <t>Blue Bell, PA</t>
  </si>
  <si>
    <t>Covance, ICON</t>
  </si>
  <si>
    <t>Kelly</t>
  </si>
  <si>
    <t>Troy, MI</t>
  </si>
  <si>
    <t>Adecco, ManpowerGroup, Allegis Corporation</t>
  </si>
  <si>
    <t>C3.ai</t>
  </si>
  <si>
    <t>Redwood City, CA</t>
  </si>
  <si>
    <t>GE Digital, Palantir Technologies, Uptake</t>
  </si>
  <si>
    <t>Quartet Health</t>
  </si>
  <si>
    <t>Midland Credit Management</t>
  </si>
  <si>
    <t>PRA Group</t>
  </si>
  <si>
    <t>Resurgent Capital Services</t>
  </si>
  <si>
    <t>Cincinnati</t>
  </si>
  <si>
    <t>Greenville, SC</t>
  </si>
  <si>
    <t>Venture Capital &amp; Private Equity</t>
  </si>
  <si>
    <t>Arlington, VA</t>
  </si>
  <si>
    <t>webfx.com</t>
  </si>
  <si>
    <t>Harrisburg</t>
  </si>
  <si>
    <t>Harrisburg, PA</t>
  </si>
  <si>
    <t>Argo Group US</t>
  </si>
  <si>
    <t>Hamilton, Bermuda</t>
  </si>
  <si>
    <t>BWX Technologies</t>
  </si>
  <si>
    <t>Oak Ridge</t>
  </si>
  <si>
    <t>Lynchburg, VA</t>
  </si>
  <si>
    <t>Life360</t>
  </si>
  <si>
    <t>MassMutual</t>
  </si>
  <si>
    <t>Springfield, MA</t>
  </si>
  <si>
    <t>Natera</t>
  </si>
  <si>
    <t>San Carlos</t>
  </si>
  <si>
    <t>San Carlos, CA</t>
  </si>
  <si>
    <t>Genomic Health, 23andMe, Illumina</t>
  </si>
  <si>
    <t>Genentech</t>
  </si>
  <si>
    <t>Ntrepid</t>
  </si>
  <si>
    <t>Bromium, FireEye, Authentic8</t>
  </si>
  <si>
    <t>Constant Contact</t>
  </si>
  <si>
    <t>Waltham</t>
  </si>
  <si>
    <t>Waltham, MA</t>
  </si>
  <si>
    <t>Unknown</t>
  </si>
  <si>
    <t>Drip, iContact, Mailchimp</t>
  </si>
  <si>
    <t>Sage Intacct</t>
  </si>
  <si>
    <t>San Jose, CA</t>
  </si>
  <si>
    <t>Shape Security</t>
  </si>
  <si>
    <t>SkillSoniq</t>
  </si>
  <si>
    <t>Jersey City, NJ</t>
  </si>
  <si>
    <t>Joby Aviation</t>
  </si>
  <si>
    <t>Cook Children's Health Care System</t>
  </si>
  <si>
    <t>Fort Worth</t>
  </si>
  <si>
    <t>Fort Worth, TX</t>
  </si>
  <si>
    <t>Children's Health, Texas Health Resources, Baylor Scott &amp; White Health</t>
  </si>
  <si>
    <t>Rubius Therapeutics</t>
  </si>
  <si>
    <t>Smithfield</t>
  </si>
  <si>
    <t>RI</t>
  </si>
  <si>
    <t>Rhode Island</t>
  </si>
  <si>
    <t>GreatAmerica Financial Services</t>
  </si>
  <si>
    <t>Cedar Rapids</t>
  </si>
  <si>
    <t>IA</t>
  </si>
  <si>
    <t>Iowa</t>
  </si>
  <si>
    <t>Cedar Rapids, IA</t>
  </si>
  <si>
    <t>Coverent</t>
  </si>
  <si>
    <t>McLean, VA</t>
  </si>
  <si>
    <t>Mteq</t>
  </si>
  <si>
    <t>Fort Belvoir</t>
  </si>
  <si>
    <t>Lorton, VA</t>
  </si>
  <si>
    <t>Harris, Fibertek</t>
  </si>
  <si>
    <t>Rocket Lawyer</t>
  </si>
  <si>
    <t>Alion Science &amp; Technology</t>
  </si>
  <si>
    <t>Linthicum Heights</t>
  </si>
  <si>
    <t>Protolabs</t>
  </si>
  <si>
    <t>Maple Plain</t>
  </si>
  <si>
    <t>MN</t>
  </si>
  <si>
    <t>Minnesota</t>
  </si>
  <si>
    <t>Maple Plain, MN</t>
  </si>
  <si>
    <t>Miscellaneous Manufacturing</t>
  </si>
  <si>
    <t>Quest Integrity</t>
  </si>
  <si>
    <t>Tulsa</t>
  </si>
  <si>
    <t>OK</t>
  </si>
  <si>
    <t>Oklahoma</t>
  </si>
  <si>
    <t>Kent, WA</t>
  </si>
  <si>
    <t>Oil &amp; Gas Services</t>
  </si>
  <si>
    <t>Phoenix Operations Group</t>
  </si>
  <si>
    <t>Woodbine, MD</t>
  </si>
  <si>
    <t>Dice.com</t>
  </si>
  <si>
    <t>Monster Worldwide, CareerBuilder, Craigslist</t>
  </si>
  <si>
    <t>Baltimore</t>
  </si>
  <si>
    <t>Southwest Research Institute</t>
  </si>
  <si>
    <t>Oklahoma City</t>
  </si>
  <si>
    <t>San Antonio, TX</t>
  </si>
  <si>
    <t>Los Alamos National Laboratory, Battelle, SRI International</t>
  </si>
  <si>
    <t>The Buffalo Group</t>
  </si>
  <si>
    <t>ManTech, Booz Allen Hamilton, Leidos</t>
  </si>
  <si>
    <t>Central California Alliance for Health</t>
  </si>
  <si>
    <t>Scotts Valley</t>
  </si>
  <si>
    <t>Scotts Valley, CA</t>
  </si>
  <si>
    <t>Security Finance Corporation of Spartanburg</t>
  </si>
  <si>
    <t>Spartanburg</t>
  </si>
  <si>
    <t>Spartanburg, SC</t>
  </si>
  <si>
    <t>Opendoor</t>
  </si>
  <si>
    <t>Global Data Management Inc</t>
  </si>
  <si>
    <t>Hartford</t>
  </si>
  <si>
    <t>CT</t>
  </si>
  <si>
    <t>Connecticut</t>
  </si>
  <si>
    <t>Woodbridge, NJ</t>
  </si>
  <si>
    <t>Photon Infotech</t>
  </si>
  <si>
    <t>Chennai, India</t>
  </si>
  <si>
    <t>REE</t>
  </si>
  <si>
    <t>Tel Aviv-Yafo, Israel</t>
  </si>
  <si>
    <t>Transportation Equipment Manufacturing</t>
  </si>
  <si>
    <t>Riverside Research Institute</t>
  </si>
  <si>
    <t>Beavercreek</t>
  </si>
  <si>
    <t>T. Rowe Price</t>
  </si>
  <si>
    <t>Baltimore, MD</t>
  </si>
  <si>
    <t>Encode, Inc.</t>
  </si>
  <si>
    <t>Norfolk</t>
  </si>
  <si>
    <t>Manalapan, NJ</t>
  </si>
  <si>
    <t>Brighthouse Financial</t>
  </si>
  <si>
    <t>Charlotte</t>
  </si>
  <si>
    <t>NC</t>
  </si>
  <si>
    <t>North Carolina</t>
  </si>
  <si>
    <t>Charlotte, NC</t>
  </si>
  <si>
    <t>II-VI Incorporated</t>
  </si>
  <si>
    <t>Champaign</t>
  </si>
  <si>
    <t>Saxonburg, PA</t>
  </si>
  <si>
    <t>Telecommunications Manufacturing</t>
  </si>
  <si>
    <t>Lumentum Operations, Keysight Technologies, O-Net Technologies</t>
  </si>
  <si>
    <t>Surya Systems</t>
  </si>
  <si>
    <t>Bristol, PA</t>
  </si>
  <si>
    <t>PayPal</t>
  </si>
  <si>
    <t>Square, Amazon, Apple</t>
  </si>
  <si>
    <t>Predictive Research Inc</t>
  </si>
  <si>
    <t>Bangalore, India</t>
  </si>
  <si>
    <t>1010data</t>
  </si>
  <si>
    <t>Gigya</t>
  </si>
  <si>
    <t>Genesis Research</t>
  </si>
  <si>
    <t>Hoboken</t>
  </si>
  <si>
    <t>Hoboken, NJ</t>
  </si>
  <si>
    <t>Sanofi</t>
  </si>
  <si>
    <t>Paris, France</t>
  </si>
  <si>
    <t>Pfizer, GlaxoSmithKline</t>
  </si>
  <si>
    <t>XPO Logistics</t>
  </si>
  <si>
    <t>Lebanon</t>
  </si>
  <si>
    <t>Greenwich, CT</t>
  </si>
  <si>
    <t>Transportation Management</t>
  </si>
  <si>
    <t>DHL Supply Chain, UPS, FedEx</t>
  </si>
  <si>
    <t>Trace Data</t>
  </si>
  <si>
    <t>Oakland</t>
  </si>
  <si>
    <t>Santa Ana, CA</t>
  </si>
  <si>
    <t>Descript</t>
  </si>
  <si>
    <t>Houston, TX</t>
  </si>
  <si>
    <t>Rincon Research Corporation</t>
  </si>
  <si>
    <t>Melbourne</t>
  </si>
  <si>
    <t>Tucson, AZ</t>
  </si>
  <si>
    <t>Raytheon Technologies, General Dynamics, MIT Lincoln Laboratory</t>
  </si>
  <si>
    <t>Better Hire</t>
  </si>
  <si>
    <t>Birmingham, AL</t>
  </si>
  <si>
    <t>Parker Hannifin</t>
  </si>
  <si>
    <t>Cleveland</t>
  </si>
  <si>
    <t>Cleveland, OH</t>
  </si>
  <si>
    <t>Eaton, SMC Corporation, Bosch Rexroth</t>
  </si>
  <si>
    <t>Gallup</t>
  </si>
  <si>
    <t>Advisory Board, Booz Allen Hamilton, McKinsey &amp; Company</t>
  </si>
  <si>
    <t>Insider Inc</t>
  </si>
  <si>
    <t>News Outlet</t>
  </si>
  <si>
    <t>Rapid Value Solutions</t>
  </si>
  <si>
    <t>Pleasanton, CA</t>
  </si>
  <si>
    <t>Battelle</t>
  </si>
  <si>
    <t>Norwell</t>
  </si>
  <si>
    <t>Columbus, OH</t>
  </si>
  <si>
    <t>The Drive Media, Inc.</t>
  </si>
  <si>
    <t>-1</t>
  </si>
  <si>
    <t>San Jose</t>
  </si>
  <si>
    <t>Pacific Northwest National Laboratory</t>
  </si>
  <si>
    <t>US Pharmacopeia</t>
  </si>
  <si>
    <t>Itlize Global</t>
  </si>
  <si>
    <t>Piscataway</t>
  </si>
  <si>
    <t>Piscataway, NJ</t>
  </si>
  <si>
    <t>eBay</t>
  </si>
  <si>
    <t>Amazon, Apple</t>
  </si>
  <si>
    <t>Paige</t>
  </si>
  <si>
    <t>ABIOMED</t>
  </si>
  <si>
    <t>Danvers</t>
  </si>
  <si>
    <t>Danvers, MA</t>
  </si>
  <si>
    <t>Covidien, Boston Scientific</t>
  </si>
  <si>
    <t>Comcast</t>
  </si>
  <si>
    <t>Philadelphia, PA</t>
  </si>
  <si>
    <t>AT&amp;T, Verizon</t>
  </si>
  <si>
    <t>Metronome, LLC</t>
  </si>
  <si>
    <t>Vienna</t>
  </si>
  <si>
    <t>Lawrence Livermore National Lab</t>
  </si>
  <si>
    <t>Livermore</t>
  </si>
  <si>
    <t>Livermore, CA</t>
  </si>
  <si>
    <t>Los Alamos National Laboratory, NASA Jet Propulsion Laboratory, Sandia National Laboratories</t>
  </si>
  <si>
    <t>FHLBank Pittsburgh</t>
  </si>
  <si>
    <t>Pittsburgh</t>
  </si>
  <si>
    <t>Pittsburgh, PA</t>
  </si>
  <si>
    <t>Jacobs</t>
  </si>
  <si>
    <t>Dallas, TX</t>
  </si>
  <si>
    <t>Architectural &amp; Engineering Services</t>
  </si>
  <si>
    <t>Fluor, Bechtel, AECOM</t>
  </si>
  <si>
    <t>Underwriters Laboratories</t>
  </si>
  <si>
    <t>Intertek, SGS, Bureau Veritas</t>
  </si>
  <si>
    <t>Altus Group</t>
  </si>
  <si>
    <t>Irvine</t>
  </si>
  <si>
    <t>Toronto, Canada</t>
  </si>
  <si>
    <t>Jobot</t>
  </si>
  <si>
    <t>Irvine, CA</t>
  </si>
  <si>
    <t>Trovetechs Inc</t>
  </si>
  <si>
    <t>Hillsborough, NJ</t>
  </si>
  <si>
    <t>Oshkosh Corporation</t>
  </si>
  <si>
    <t>Oshkosh</t>
  </si>
  <si>
    <t>Oshkosh, WI</t>
  </si>
  <si>
    <t>Lockheed Martin, Caterpillar, John Deere</t>
  </si>
  <si>
    <t>Mackin</t>
  </si>
  <si>
    <t>Menlo Park</t>
  </si>
  <si>
    <t>PETADATA</t>
  </si>
  <si>
    <t>Fremont, CA</t>
  </si>
  <si>
    <t>VBeyond Corporation</t>
  </si>
  <si>
    <t>Dallas</t>
  </si>
  <si>
    <t>Arlington</t>
  </si>
  <si>
    <t>Take-Two</t>
  </si>
  <si>
    <t>Activision Blizzard, Electronic Arts</t>
  </si>
  <si>
    <t>Colony Brands</t>
  </si>
  <si>
    <t>Monroe</t>
  </si>
  <si>
    <t>Monroe, WI</t>
  </si>
  <si>
    <t>Food &amp; Beverage Stores</t>
  </si>
  <si>
    <t>Capio Group</t>
  </si>
  <si>
    <t>Sacramento</t>
  </si>
  <si>
    <t>Goteborg, Sweden</t>
  </si>
  <si>
    <t>Hospital</t>
  </si>
  <si>
    <t>SleePare</t>
  </si>
  <si>
    <t>Other Retail Stores</t>
  </si>
  <si>
    <t>ShorePoint</t>
  </si>
  <si>
    <t>Dolphin</t>
  </si>
  <si>
    <t>Lake Buena Vista, FL</t>
  </si>
  <si>
    <t>Hotels, Motels, &amp; Resorts</t>
  </si>
  <si>
    <t>Travel &amp; Tourism</t>
  </si>
  <si>
    <t>TE Connectivity</t>
  </si>
  <si>
    <t>Hampton</t>
  </si>
  <si>
    <t>Schaffhausen, Switzerland</t>
  </si>
  <si>
    <t>State of Virginia</t>
  </si>
  <si>
    <t>Richmond</t>
  </si>
  <si>
    <t>Richmond, VA</t>
  </si>
  <si>
    <t>State &amp; Regional Agencies</t>
  </si>
  <si>
    <t>TA Digital</t>
  </si>
  <si>
    <t>Newark, CA</t>
  </si>
  <si>
    <t>Market America Inc</t>
  </si>
  <si>
    <t>Monterey</t>
  </si>
  <si>
    <t>Greensboro, NC</t>
  </si>
  <si>
    <t>TrueAccord</t>
  </si>
  <si>
    <t>ALTA IT Services</t>
  </si>
  <si>
    <t>Woodlawn</t>
  </si>
  <si>
    <t>Kollasoft Inc.</t>
  </si>
  <si>
    <t>Scottsdale, AZ</t>
  </si>
  <si>
    <t>Irving, TX</t>
  </si>
  <si>
    <t>ASRC Federal Holding Company</t>
  </si>
  <si>
    <t>Beltsville, MD</t>
  </si>
  <si>
    <t>Adwait Algorithm</t>
  </si>
  <si>
    <t>Cambridge FX</t>
  </si>
  <si>
    <t>Financial Transaction Processing</t>
  </si>
  <si>
    <t>Metromile</t>
  </si>
  <si>
    <t>Criteo</t>
  </si>
  <si>
    <t>Ann Arbor</t>
  </si>
  <si>
    <t>MediaMath, Conversant, AppNexus</t>
  </si>
  <si>
    <t>Advance Sourcing Concepts</t>
  </si>
  <si>
    <t>Enterprise Solutions Inc</t>
  </si>
  <si>
    <t>Naperville, IL</t>
  </si>
  <si>
    <t>Microagility</t>
  </si>
  <si>
    <t>Conch Technologies, Inc</t>
  </si>
  <si>
    <t>Concord</t>
  </si>
  <si>
    <t>GSK</t>
  </si>
  <si>
    <t>Brentford, United Kingdom</t>
  </si>
  <si>
    <t>Pfizer, AstraZeneca, Merck</t>
  </si>
  <si>
    <t>Rainmaker Resources, LLC</t>
  </si>
  <si>
    <t>Cincinnati, OH</t>
  </si>
  <si>
    <t>22nd Century Technologies</t>
  </si>
  <si>
    <t>Somerset, NJ</t>
  </si>
  <si>
    <t>Huxley</t>
  </si>
  <si>
    <t>London, United Kingdom</t>
  </si>
  <si>
    <t>FM Systems</t>
  </si>
  <si>
    <t>Raleigh, NC</t>
  </si>
  <si>
    <t>Archibus, iOffice, Planon</t>
  </si>
  <si>
    <t>B4Corp</t>
  </si>
  <si>
    <t>Leesburg, VA</t>
  </si>
  <si>
    <t>Blue Cross and Blue Shield of North Carolina</t>
  </si>
  <si>
    <t>Durham</t>
  </si>
  <si>
    <t>Durham, NC</t>
  </si>
  <si>
    <t>Jane Street</t>
  </si>
  <si>
    <t>SSATI</t>
  </si>
  <si>
    <t>Solving IT International Inc</t>
  </si>
  <si>
    <t>The Davey Tree Expert Company</t>
  </si>
  <si>
    <t>Kent</t>
  </si>
  <si>
    <t>Kent, OH</t>
  </si>
  <si>
    <t>Self-employed</t>
  </si>
  <si>
    <t>Timber Operations</t>
  </si>
  <si>
    <t>Agriculture &amp; Forestry</t>
  </si>
  <si>
    <t>ACRT Services, Bartlett Tree Experts</t>
  </si>
  <si>
    <t>Centauri</t>
  </si>
  <si>
    <t>TASC, Vencore, Booz Allen Hamilton</t>
  </si>
  <si>
    <t>Stride Search</t>
  </si>
  <si>
    <t>Westlake Village, CA</t>
  </si>
  <si>
    <t>Software Engineering Institute</t>
  </si>
  <si>
    <t>College / University</t>
  </si>
  <si>
    <t>Colleges &amp; Universities</t>
  </si>
  <si>
    <t>Education</t>
  </si>
  <si>
    <t>TechProjects</t>
  </si>
  <si>
    <t>North Brunswick, NJ</t>
  </si>
  <si>
    <t>7Park Data</t>
  </si>
  <si>
    <t>Ameritas Life Insurance Corp</t>
  </si>
  <si>
    <t>Western Digital</t>
  </si>
  <si>
    <t>Seagate Technology, Toshiba</t>
  </si>
  <si>
    <t>Shimento, Inc.</t>
  </si>
  <si>
    <t>Benicia, CA</t>
  </si>
  <si>
    <t>Averity</t>
  </si>
  <si>
    <t>Praxis Engineering</t>
  </si>
  <si>
    <t>Raytheon Technologies, Northrop Grumman, Booz Allen Hamilton</t>
  </si>
  <si>
    <t>Johns Hopkins University Applied Physics Laboratory</t>
  </si>
  <si>
    <t>Laurel</t>
  </si>
  <si>
    <t>Laurel, MD</t>
  </si>
  <si>
    <t>MIT Lincoln Laboratory, Lockheed Martin, Northrop Grumman</t>
  </si>
  <si>
    <t>Cambridge Mobile Telematics</t>
  </si>
  <si>
    <t>Blend360</t>
  </si>
  <si>
    <t>Columbia, MD</t>
  </si>
  <si>
    <t>Nolij Consulting</t>
  </si>
  <si>
    <t>Falls Church</t>
  </si>
  <si>
    <t>Compass Consulting Group</t>
  </si>
  <si>
    <t>Thousand Oaks</t>
  </si>
  <si>
    <t>Danville, CA</t>
  </si>
  <si>
    <t>SolutionIT, Inc.</t>
  </si>
  <si>
    <t>Edison</t>
  </si>
  <si>
    <t>Wilmington, MA</t>
  </si>
  <si>
    <t>Perspecta</t>
  </si>
  <si>
    <t>Adelphi</t>
  </si>
  <si>
    <t>Smith Hanley Associates</t>
  </si>
  <si>
    <t>New York, 061</t>
  </si>
  <si>
    <t>Kforce, PageGroup, Robert Half</t>
  </si>
  <si>
    <t>Allen Institute</t>
  </si>
  <si>
    <t>Seattle</t>
  </si>
  <si>
    <t>Eliassen Group</t>
  </si>
  <si>
    <t>Reading, MA</t>
  </si>
  <si>
    <t>TEKsystems, Kforce, Randstad US</t>
  </si>
  <si>
    <t>Bayside Solutions</t>
  </si>
  <si>
    <t>Sunnyvale</t>
  </si>
  <si>
    <t>Evolve Vacation Rental</t>
  </si>
  <si>
    <t>Travel Agencies</t>
  </si>
  <si>
    <t>AgreeYa Solutions</t>
  </si>
  <si>
    <t>Folsom, CA</t>
  </si>
  <si>
    <t>Carolina Power &amp; Light Co</t>
  </si>
  <si>
    <t>South Carolina Electric &amp; Gas, Virginia Electric and Power</t>
  </si>
  <si>
    <t>New Iron Group, Inc.</t>
  </si>
  <si>
    <t>Contract</t>
  </si>
  <si>
    <t>Travelers</t>
  </si>
  <si>
    <t>Twitch</t>
  </si>
  <si>
    <t>Biogen</t>
  </si>
  <si>
    <t>Mentor Graphics</t>
  </si>
  <si>
    <t>Fremont</t>
  </si>
  <si>
    <t>Wilsonville, OR</t>
  </si>
  <si>
    <t>Cadence Design Systems, Synopsys, Altium Limited</t>
  </si>
  <si>
    <t>WCG (WIRB-Copernicus Group)</t>
  </si>
  <si>
    <t>Hamilton</t>
  </si>
  <si>
    <t>Visionary Integration Professionals</t>
  </si>
  <si>
    <t>CGI (Nevada), Accenture, Deloitte</t>
  </si>
  <si>
    <t>Dynetics</t>
  </si>
  <si>
    <t>Huntsville</t>
  </si>
  <si>
    <t>Huntsville, AL</t>
  </si>
  <si>
    <t>Navy Federal Credit Union</t>
  </si>
  <si>
    <t>Merrifield</t>
  </si>
  <si>
    <t>Exact Sciences Corporation</t>
  </si>
  <si>
    <t>Madison</t>
  </si>
  <si>
    <t>Madison, WI</t>
  </si>
  <si>
    <t>Community Behavioral Health</t>
  </si>
  <si>
    <t>Philadelphia</t>
  </si>
  <si>
    <t>Phila, PA</t>
  </si>
  <si>
    <t>Reynolds American</t>
  </si>
  <si>
    <t>Winston-Salem</t>
  </si>
  <si>
    <t>Winston-Salem, NC</t>
  </si>
  <si>
    <t>LifeOmic</t>
  </si>
  <si>
    <t>Raleigh</t>
  </si>
  <si>
    <t>Visionist, Inc.</t>
  </si>
  <si>
    <t>Navio</t>
  </si>
  <si>
    <t>Half Moon Bay, CA</t>
  </si>
  <si>
    <t>Concerto HealthAI</t>
  </si>
  <si>
    <t>Evolvinc</t>
  </si>
  <si>
    <t>Burbank</t>
  </si>
  <si>
    <t>Los Angeles, CA</t>
  </si>
  <si>
    <t>PROPRIUS</t>
  </si>
  <si>
    <t>TECHNOCRAFT Solutions</t>
  </si>
  <si>
    <t>San Ramon</t>
  </si>
  <si>
    <t>Hilliard, OH</t>
  </si>
  <si>
    <t>Latitude, Inc.</t>
  </si>
  <si>
    <t>Hanover, MD</t>
  </si>
  <si>
    <t>Royce Geospatial</t>
  </si>
  <si>
    <t>CyberCoders</t>
  </si>
  <si>
    <t>Booz Allen Hamilton Inc.</t>
  </si>
  <si>
    <t>Oxnard</t>
  </si>
  <si>
    <t>Accenture, Deloitte, PwC</t>
  </si>
  <si>
    <t>Burns &amp; McDonnell</t>
  </si>
  <si>
    <t>Kansas City</t>
  </si>
  <si>
    <t>Kansas City, MO</t>
  </si>
  <si>
    <t>Bechtel Jacobs, Black &amp; Veatch, HNTB</t>
  </si>
  <si>
    <t>InvenTech Info</t>
  </si>
  <si>
    <t>Jersey City</t>
  </si>
  <si>
    <t>Bengaluru, India</t>
  </si>
  <si>
    <t>Robert Half</t>
  </si>
  <si>
    <t>Manchester</t>
  </si>
  <si>
    <t>Adecco, Manpower</t>
  </si>
  <si>
    <t>Conflux Systems Inc.</t>
  </si>
  <si>
    <t>Winters</t>
  </si>
  <si>
    <t>Alpharetta, GA</t>
  </si>
  <si>
    <t>Accounting</t>
  </si>
  <si>
    <t>Accounting &amp; Legal</t>
  </si>
  <si>
    <t>Voice</t>
  </si>
  <si>
    <t>Brooklyn</t>
  </si>
  <si>
    <t>Falcon IT &amp; Staffing Solutions</t>
  </si>
  <si>
    <t>DataLab USA</t>
  </si>
  <si>
    <t>Germantown</t>
  </si>
  <si>
    <t>Germantown, MD</t>
  </si>
  <si>
    <t>Acxiom, Merkle, Epsilon (North Carolina)</t>
  </si>
  <si>
    <t>Werner Enterprises Inc</t>
  </si>
  <si>
    <t>Omaha</t>
  </si>
  <si>
    <t>Omaha, NE</t>
  </si>
  <si>
    <t>Logistics &amp; Supply Chain</t>
  </si>
  <si>
    <t>PeopleCom</t>
  </si>
  <si>
    <t>VANTA Partners</t>
  </si>
  <si>
    <t>Open Fork</t>
  </si>
  <si>
    <t>Clifton Park, NY</t>
  </si>
  <si>
    <t>Blue Icy Water, LLC</t>
  </si>
  <si>
    <t>Livonia, MI</t>
  </si>
  <si>
    <t>Farmer's Business Network, Inc.</t>
  </si>
  <si>
    <t>Farm Support Services</t>
  </si>
  <si>
    <t>Sonde Health</t>
  </si>
  <si>
    <t>Maxiom</t>
  </si>
  <si>
    <t>Ashburn</t>
  </si>
  <si>
    <t>Ashburn, VA</t>
  </si>
  <si>
    <t>Change Healthcare</t>
  </si>
  <si>
    <t>Lombard</t>
  </si>
  <si>
    <t>Nashville, TN</t>
  </si>
  <si>
    <t>DCS Corp</t>
  </si>
  <si>
    <t>Alexandria, VA</t>
  </si>
  <si>
    <t>Hive (CA)</t>
  </si>
  <si>
    <t>Hackensack Meridian Health</t>
  </si>
  <si>
    <t>Edison, NJ</t>
  </si>
  <si>
    <t>Net2Source Inc.</t>
  </si>
  <si>
    <t>Alpharetta</t>
  </si>
  <si>
    <t>The Trade Desk</t>
  </si>
  <si>
    <t>Boulder</t>
  </si>
  <si>
    <t>Ventura, CA</t>
  </si>
  <si>
    <t>IBM</t>
  </si>
  <si>
    <t>Armonk, NY</t>
  </si>
  <si>
    <t>Amazon, Accenture, Microsoft</t>
  </si>
  <si>
    <t>Knowesis Inc.</t>
  </si>
  <si>
    <t>Booz Allen Hamilton, Deloitte, ERPi</t>
  </si>
  <si>
    <t>MoTek Technologies</t>
  </si>
  <si>
    <t>Mountain View</t>
  </si>
  <si>
    <t>HPOne</t>
  </si>
  <si>
    <t>Trumbull</t>
  </si>
  <si>
    <t>Trumbull, CT</t>
  </si>
  <si>
    <t>TBWA\Chiat\Day</t>
  </si>
  <si>
    <t>ThreeBridge Solutions</t>
  </si>
  <si>
    <t>Numeric, LLC</t>
  </si>
  <si>
    <t>Chadds Ford, PA</t>
  </si>
  <si>
    <t>Centraprise</t>
  </si>
  <si>
    <t>Foster City</t>
  </si>
  <si>
    <t>DW Simpson</t>
  </si>
  <si>
    <t>Frederick</t>
  </si>
  <si>
    <t>LinQuest</t>
  </si>
  <si>
    <t>Colorado Springs</t>
  </si>
  <si>
    <t>Trexquant Investment</t>
  </si>
  <si>
    <t>Fleetcor</t>
  </si>
  <si>
    <t>Radiant Digital</t>
  </si>
  <si>
    <t>Child Care Aware of America</t>
  </si>
  <si>
    <t>Social Assistance</t>
  </si>
  <si>
    <t>Non-Profit</t>
  </si>
  <si>
    <t>IntelliPro Group Inc.</t>
  </si>
  <si>
    <t>USI</t>
  </si>
  <si>
    <t>Southfield</t>
  </si>
  <si>
    <t>Saint Paul, MN</t>
  </si>
  <si>
    <t>Construction</t>
  </si>
  <si>
    <t>Construction, Repair &amp; Maintenance</t>
  </si>
  <si>
    <t>Apex Systems</t>
  </si>
  <si>
    <t>Glen Allen, VA</t>
  </si>
  <si>
    <t>TEKsystems, Insight Global, Accenture</t>
  </si>
  <si>
    <t>Pragmatics, Inc.</t>
  </si>
  <si>
    <t>Crossover Health</t>
  </si>
  <si>
    <t>San Clemente</t>
  </si>
  <si>
    <t>Aliso Viejo, CA</t>
  </si>
  <si>
    <t>Lorven Technologies Inc</t>
  </si>
  <si>
    <t>Plainsboro, NJ</t>
  </si>
  <si>
    <t>Gap Inc.</t>
  </si>
  <si>
    <t>Department, Clothing, &amp; Shoe Stores</t>
  </si>
  <si>
    <t>H&amp;M, Inditex, Fast Retailing</t>
  </si>
  <si>
    <t>Tygart Technology, Inc</t>
  </si>
  <si>
    <t>Fairmont, WV</t>
  </si>
  <si>
    <t>Murray Resources</t>
  </si>
  <si>
    <t>The Woodlands</t>
  </si>
  <si>
    <t>New York Technology Partners</t>
  </si>
  <si>
    <t>Two95 International Inc.</t>
  </si>
  <si>
    <t>Cherry Hill, NJ</t>
  </si>
  <si>
    <t>Sophinea</t>
  </si>
  <si>
    <t>CRS Group</t>
  </si>
  <si>
    <t>Itasca, IL</t>
  </si>
  <si>
    <t>Blackstone Talent Group</t>
  </si>
  <si>
    <t>Roche</t>
  </si>
  <si>
    <t>Pleasanton</t>
  </si>
  <si>
    <t>Novartis, AstraZeneca, Siemens Healthineers</t>
  </si>
  <si>
    <t>Wilmington</t>
  </si>
  <si>
    <t>DE</t>
  </si>
  <si>
    <t>Delaware</t>
  </si>
  <si>
    <t>Creative Circle</t>
  </si>
  <si>
    <t>Aquent, 24 Seven Talent</t>
  </si>
  <si>
    <t>Blue Horizon Tek Solutions</t>
  </si>
  <si>
    <t>Coconut Creek, FL</t>
  </si>
  <si>
    <t>Sharpedge Solutions Inc</t>
  </si>
  <si>
    <t>Lombard, IL</t>
  </si>
  <si>
    <t>Publishing</t>
  </si>
  <si>
    <t>Alaka`ina Foundation Family of Companies</t>
  </si>
  <si>
    <t>Fort Sam Houston</t>
  </si>
  <si>
    <t>Honolulu, HI</t>
  </si>
  <si>
    <t>Hexagon US Federal</t>
  </si>
  <si>
    <t>Lexington Park</t>
  </si>
  <si>
    <t>Comtech Global Inc</t>
  </si>
  <si>
    <t>Health, Beauty, &amp; Fitness</t>
  </si>
  <si>
    <t>Consumer Services</t>
  </si>
  <si>
    <t>Aveshka, Inc.</t>
  </si>
  <si>
    <t>10x Genomics</t>
  </si>
  <si>
    <t>CompuForce</t>
  </si>
  <si>
    <t>1-800-Flowers</t>
  </si>
  <si>
    <t>Carle Place, NY</t>
  </si>
  <si>
    <t>Wholesale</t>
  </si>
  <si>
    <t>Aptive</t>
  </si>
  <si>
    <t>JCD Staffing</t>
  </si>
  <si>
    <t>Thumbtack</t>
  </si>
  <si>
    <t>MILVETS Systems Technology, Inc.</t>
  </si>
  <si>
    <t>Patuxent</t>
  </si>
  <si>
    <t>Apple</t>
  </si>
  <si>
    <t>Cupertino, CA</t>
  </si>
  <si>
    <t>Google, Microsoft, Samsung Electronics</t>
  </si>
  <si>
    <t>Kforce</t>
  </si>
  <si>
    <t>Fairfax</t>
  </si>
  <si>
    <t>Tampa, FL</t>
  </si>
  <si>
    <t>OppLoans</t>
  </si>
  <si>
    <t>San Antonio</t>
  </si>
  <si>
    <t>Brillient</t>
  </si>
  <si>
    <t>Silver Spring</t>
  </si>
  <si>
    <t>Xator Corporation</t>
  </si>
  <si>
    <t>HAN IT Staffing Inc.</t>
  </si>
  <si>
    <t>Totowa, NJ</t>
  </si>
  <si>
    <t>Infinitive Inc</t>
  </si>
  <si>
    <t>New Relic</t>
  </si>
  <si>
    <t>Portland</t>
  </si>
  <si>
    <t>AppDynamics, Datadog, Dynatrace</t>
  </si>
  <si>
    <t>ICW Group</t>
  </si>
  <si>
    <t>Liberty Mutual Insurance, EMPLOYERS, Travelers</t>
  </si>
  <si>
    <t>NYSTEC</t>
  </si>
  <si>
    <t>Rome, NY</t>
  </si>
  <si>
    <t>KPMG, Accenture, Deloitte</t>
  </si>
  <si>
    <t>E3 Federal Solutions</t>
  </si>
  <si>
    <t>Peraton</t>
  </si>
  <si>
    <t>Group O</t>
  </si>
  <si>
    <t>Milan, IL</t>
  </si>
  <si>
    <t>CaptiveAire</t>
  </si>
  <si>
    <t>Temboo</t>
  </si>
  <si>
    <t>Kibo</t>
  </si>
  <si>
    <t>Marbella, Spain</t>
  </si>
  <si>
    <t>AeroVironment</t>
  </si>
  <si>
    <t>Simi Valley</t>
  </si>
  <si>
    <t>Simi Valley, CA</t>
  </si>
  <si>
    <t>General Atomics, Boeing, Northrop Grumman</t>
  </si>
  <si>
    <t>Applied Research Laboratories</t>
  </si>
  <si>
    <t>Conagen</t>
  </si>
  <si>
    <t>New Bedford</t>
  </si>
  <si>
    <t>Alector</t>
  </si>
  <si>
    <t>Homology Medicines, Inc.</t>
  </si>
  <si>
    <t>Inland Empire Health Plan</t>
  </si>
  <si>
    <t>Rancho Cucamonga</t>
  </si>
  <si>
    <t>Rancho Cucamonga, CA</t>
  </si>
  <si>
    <t>Sandia National Laboratories</t>
  </si>
  <si>
    <t>Albuquerque, NM</t>
  </si>
  <si>
    <t>Los Alamos National Laboratory, Lawrence Livermore National Laboratory</t>
  </si>
  <si>
    <t>Collegeville</t>
  </si>
  <si>
    <t>CIA</t>
  </si>
  <si>
    <t>Langley, VA</t>
  </si>
  <si>
    <t>Maven Wave Partners</t>
  </si>
  <si>
    <t>Ovative Group</t>
  </si>
  <si>
    <t>Minneapolis</t>
  </si>
  <si>
    <t>Kognetics</t>
  </si>
  <si>
    <t>Gahanna</t>
  </si>
  <si>
    <t>Envision Healthcare</t>
  </si>
  <si>
    <t>ConsumerTrack</t>
  </si>
  <si>
    <t>Meridian Knowledge Solutions</t>
  </si>
  <si>
    <t>UST Global</t>
  </si>
  <si>
    <t>Cognizant Technology Solutions, Infosys, Wipro</t>
  </si>
  <si>
    <t>IMG Systems</t>
  </si>
  <si>
    <t>Plano, TX</t>
  </si>
  <si>
    <t>Trident Systems Inc</t>
  </si>
  <si>
    <t>First Health Group</t>
  </si>
  <si>
    <t>Wellesley</t>
  </si>
  <si>
    <t>Humana</t>
  </si>
  <si>
    <t>Sprezzatura Management Consulting</t>
  </si>
  <si>
    <t>Progress Rail, A Caterpillar Company</t>
  </si>
  <si>
    <t>Albertville, AL</t>
  </si>
  <si>
    <t>Rail</t>
  </si>
  <si>
    <t>Axiologic Solutions</t>
  </si>
  <si>
    <t>Indigo Slate</t>
  </si>
  <si>
    <t>Cubic</t>
  </si>
  <si>
    <t>Accenture, Northrop Grumman, Xerox</t>
  </si>
  <si>
    <t>Advanced Bio-Logic Solutions Corp</t>
  </si>
  <si>
    <t>Alignment Healthcare</t>
  </si>
  <si>
    <t>Orange</t>
  </si>
  <si>
    <t>Orange, CA</t>
  </si>
  <si>
    <t>WGSN</t>
  </si>
  <si>
    <t>ISYS Technologies, Inc.</t>
  </si>
  <si>
    <t>Littleton, CO</t>
  </si>
  <si>
    <t>TransVoyant</t>
  </si>
  <si>
    <t>Bridgeport</t>
  </si>
  <si>
    <t>WV</t>
  </si>
  <si>
    <t>West Virginia</t>
  </si>
  <si>
    <t>Geotab</t>
  </si>
  <si>
    <t>Oakville</t>
  </si>
  <si>
    <t>Oakville, Canada</t>
  </si>
  <si>
    <t>EGlobalTech</t>
  </si>
  <si>
    <t>Central Business Solutions, Inc</t>
  </si>
  <si>
    <t>KeHE Distributors</t>
  </si>
  <si>
    <t>Naperville</t>
  </si>
  <si>
    <t>United Natural Foods, US Foods, DPI Specialty Foods</t>
  </si>
  <si>
    <t>Moxie Software</t>
  </si>
  <si>
    <t>San Bruno, CA</t>
  </si>
  <si>
    <t>LivePerson, Salesforce, SAP</t>
  </si>
  <si>
    <t>Unicom Technologies INC</t>
  </si>
  <si>
    <t>Americo Life</t>
  </si>
  <si>
    <t>Tokio Marine HCC</t>
  </si>
  <si>
    <t>Houston</t>
  </si>
  <si>
    <t>Zurich Insurance, AXA XL, Allianz</t>
  </si>
  <si>
    <t>CACI International</t>
  </si>
  <si>
    <t>CSC, ManTech, SAIC</t>
  </si>
  <si>
    <t>Qurate Retail Group</t>
  </si>
  <si>
    <t>West Chester</t>
  </si>
  <si>
    <t>West Chester, PA</t>
  </si>
  <si>
    <t>A-Line Staffing Solutions</t>
  </si>
  <si>
    <t>Utica, MI</t>
  </si>
  <si>
    <t>Clear Ridge Defense</t>
  </si>
  <si>
    <t>Quantico</t>
  </si>
  <si>
    <t>Criterion Systems, Inc.</t>
  </si>
  <si>
    <t>Foundation Medicine</t>
  </si>
  <si>
    <t>Genomic Health, Myriad Genetics, The Broad Institute</t>
  </si>
  <si>
    <t>TRANZACT</t>
  </si>
  <si>
    <t>Fort Lee</t>
  </si>
  <si>
    <t>Fort Lee, NJ</t>
  </si>
  <si>
    <t>ChaTeck Incorporated</t>
  </si>
  <si>
    <t>Count</t>
  </si>
  <si>
    <t>Min Sal Avg</t>
  </si>
  <si>
    <t>Max Sal Avg</t>
  </si>
  <si>
    <t>Column1</t>
  </si>
  <si>
    <t>Column2</t>
  </si>
  <si>
    <t>Alaska</t>
  </si>
  <si>
    <t>AK</t>
  </si>
  <si>
    <t>Arkansas</t>
  </si>
  <si>
    <t>AR</t>
  </si>
  <si>
    <t>Hawaii</t>
  </si>
  <si>
    <t>HI</t>
  </si>
  <si>
    <t>Idaho</t>
  </si>
  <si>
    <t>ID</t>
  </si>
  <si>
    <t>Kentucky</t>
  </si>
  <si>
    <t>KY</t>
  </si>
  <si>
    <t>Maine</t>
  </si>
  <si>
    <t>ME</t>
  </si>
  <si>
    <t>Montana</t>
  </si>
  <si>
    <t>MT</t>
  </si>
  <si>
    <t>Nevada</t>
  </si>
  <si>
    <t>NV</t>
  </si>
  <si>
    <t>New Mexico</t>
  </si>
  <si>
    <t>NM</t>
  </si>
  <si>
    <t>North Dakota</t>
  </si>
  <si>
    <t>ND</t>
  </si>
  <si>
    <t>South Dakota</t>
  </si>
  <si>
    <t>SD</t>
  </si>
  <si>
    <t>Vermont</t>
  </si>
  <si>
    <t>VT</t>
  </si>
  <si>
    <t>Wyoming</t>
  </si>
  <si>
    <t>WY</t>
  </si>
  <si>
    <t>US DATA SCIENCE JOB POSTING DASHBOARD</t>
  </si>
  <si>
    <t>Row Labels</t>
  </si>
  <si>
    <t>Sum of Min Sal Avg</t>
  </si>
  <si>
    <t>Sum of Max Sal Avg</t>
  </si>
  <si>
    <t>Sum of Count</t>
  </si>
  <si>
    <t>Combine</t>
  </si>
  <si>
    <t>1001-5000</t>
  </si>
  <si>
    <t>1-50</t>
  </si>
  <si>
    <t>201-500</t>
  </si>
  <si>
    <t>5001-10000</t>
  </si>
  <si>
    <t>501-1000</t>
  </si>
  <si>
    <t>51-200</t>
  </si>
  <si>
    <t>Avg Min Sal</t>
  </si>
  <si>
    <t>Avg Max Sal</t>
  </si>
  <si>
    <t>Sum of Avg Min Sal</t>
  </si>
  <si>
    <t>Sum of Avg Max Sal</t>
  </si>
  <si>
    <t>Count of Role Type</t>
  </si>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</sst>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font>
      <sz val="11"/>
      <color theme="1"/>
      <name val="Aptos Narrow"/>
      <family val="2"/>
      <scheme val="minor"/>
    </font>
    <font>
      <b/>
      <sz val="22"/>
      <color theme="0"/>
      <name val="Georgia Pro Black"/>
      <family val="1"/>
    </font>
    <font>
      <b/>
      <sz val="11"/>
      <color theme="0"/>
      <name val="Aptos Narrow"/>
      <family val="2"/>
      <scheme val="minor"/>
    </font>
    <font>
      <sz val="11"/>
      <color theme="0"/>
      <name val="Aptos Narrow"/>
      <family val="2"/>
      <scheme val="minor"/>
    </font>
  </fonts>
  <fills count="6">
    <fill>
      <patternFill patternType="none"/>
    </fill>
    <fill>
      <patternFill patternType="gray125"/>
    </fill>
    <fill>
      <patternFill patternType="solid">
        <fgColor theme="6"/>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0"/>
        <bgColor indexed="64"/>
      </patternFill>
    </fill>
  </fills>
  <borders count="4">
    <border>
      <left/>
      <right/>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1">
    <xf numFmtId="0" fontId="0" fillId="0" borderId="0"/>
  </cellStyleXfs>
  <cellXfs count="14">
    <xf numFmtId="0" fontId="0" fillId="0" borderId="0" xfId="0"/>
    <xf numFmtId="0" fontId="0" fillId="0" borderId="0" xfId="0" pivotButton="1"/>
    <xf numFmtId="0" fontId="0" fillId="0" borderId="0" xfId="0" applyAlignment="1">
      <alignment horizontal="left"/>
    </xf>
    <xf numFmtId="4" fontId="0" fillId="0" borderId="0" xfId="0" applyNumberFormat="1"/>
    <xf numFmtId="0" fontId="2" fillId="3" borderId="1" xfId="0" applyFont="1" applyFill="1" applyBorder="1"/>
    <xf numFmtId="0" fontId="0" fillId="4" borderId="1" xfId="0" applyFill="1" applyBorder="1"/>
    <xf numFmtId="0" fontId="0" fillId="0" borderId="1" xfId="0" applyBorder="1"/>
    <xf numFmtId="0" fontId="0" fillId="0" borderId="0" xfId="0" applyAlignment="1">
      <alignment horizontal="center"/>
    </xf>
    <xf numFmtId="0" fontId="3" fillId="5" borderId="0" xfId="0" applyFont="1" applyFill="1"/>
    <xf numFmtId="0" fontId="0" fillId="0" borderId="0" xfId="0" applyAlignment="1">
      <alignment horizontal="left" vertical="top"/>
    </xf>
    <xf numFmtId="0" fontId="2" fillId="3" borderId="1" xfId="0" applyFont="1" applyFill="1" applyBorder="1" applyAlignment="1">
      <alignment horizontal="left" vertical="top"/>
    </xf>
    <xf numFmtId="0" fontId="2" fillId="3" borderId="2" xfId="0" applyFont="1" applyFill="1" applyBorder="1" applyAlignment="1">
      <alignment horizontal="left" vertical="top"/>
    </xf>
    <xf numFmtId="0" fontId="2" fillId="3" borderId="3" xfId="0" applyFont="1" applyFill="1" applyBorder="1" applyAlignment="1">
      <alignment horizontal="left" vertical="top"/>
    </xf>
    <xf numFmtId="0" fontId="1" fillId="2" borderId="0" xfId="0" applyFont="1" applyFill="1" applyAlignment="1">
      <alignment horizontal="center"/>
    </xf>
  </cellXfs>
  <cellStyles count="1">
    <cellStyle name="Normal" xfId="0" builtinId="0"/>
  </cellStyles>
  <dxfs count="27">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numFmt numFmtId="4" formatCode="#,##0.00"/>
    </dxf>
    <dxf>
      <numFmt numFmtId="4" formatCode="#,##0.00"/>
    </dxf>
    <dxf>
      <numFmt numFmtId="4" formatCode="#,##0.00"/>
    </dxf>
    <dxf>
      <numFmt numFmtId="4" formatCode="#,##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33CC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4.xml"/><Relationship Id="rId18" Type="http://schemas.microsoft.com/office/2007/relationships/slicerCache" Target="slicerCaches/slicerCache4.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pivotCacheDefinition" Target="pivotCache/pivotCacheDefinition3.xml"/><Relationship Id="rId17" Type="http://schemas.microsoft.com/office/2007/relationships/slicerCache" Target="slicerCaches/slicerCache3.xml"/><Relationship Id="rId25" Type="http://schemas.openxmlformats.org/officeDocument/2006/relationships/customXml" Target="../customXml/item1.xml"/><Relationship Id="rId2" Type="http://schemas.openxmlformats.org/officeDocument/2006/relationships/worksheet" Target="worksheets/sheet2.xml"/><Relationship Id="rId16" Type="http://schemas.microsoft.com/office/2007/relationships/slicerCache" Target="slicerCaches/slicerCache2.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24" Type="http://schemas.openxmlformats.org/officeDocument/2006/relationships/calcChain" Target="calcChain.xml"/><Relationship Id="rId5" Type="http://schemas.openxmlformats.org/officeDocument/2006/relationships/worksheet" Target="worksheets/sheet5.xml"/><Relationship Id="rId15" Type="http://schemas.microsoft.com/office/2007/relationships/slicerCache" Target="slicerCaches/slicerCache1.xml"/><Relationship Id="rId23" Type="http://schemas.openxmlformats.org/officeDocument/2006/relationships/sheetMetadata" Target="metadata.xml"/><Relationship Id="rId10" Type="http://schemas.openxmlformats.org/officeDocument/2006/relationships/pivotCacheDefinition" Target="pivotCache/pivotCacheDefinition1.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5.xml"/><Relationship Id="rId22"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[Finished Dashboard - Dana Mae Carbonel.xlsm]Analysis!PivotTable1</c:name>
    <c:fmtId val="5"/>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PH">
                <a:solidFill>
                  <a:schemeClr val="bg1"/>
                </a:solidFill>
              </a:rPr>
              <a:t>Min and Max Salary per Job Role</a:t>
            </a:r>
          </a:p>
        </c:rich>
      </c:tx>
      <c:layout>
        <c:manualLayout>
          <c:xMode val="edge"/>
          <c:yMode val="edge"/>
          <c:x val="0.26072222222222224"/>
          <c:y val="3.7037037037037035E-2"/>
        </c:manualLayout>
      </c:layout>
      <c:overlay val="0"/>
      <c:spPr>
        <a:solidFill>
          <a:schemeClr val="accent3"/>
        </a:solid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Analysis!$B$1</c:f>
              <c:strCache>
                <c:ptCount val="1"/>
                <c:pt idx="0">
                  <c:v>Sum of Min Sal Avg</c:v>
                </c:pt>
              </c:strCache>
            </c:strRef>
          </c:tx>
          <c:spPr>
            <a:solidFill>
              <a:schemeClr val="accent6">
                <a:tint val="77000"/>
              </a:schemeClr>
            </a:solidFill>
            <a:ln>
              <a:noFill/>
            </a:ln>
            <a:effectLst/>
          </c:spPr>
          <c:invertIfNegative val="0"/>
          <c:cat>
            <c:strRef>
              <c:f>Analysis!$A$2:$A$6</c:f>
              <c:strCache>
                <c:ptCount val="5"/>
                <c:pt idx="0">
                  <c:v>Data Scientist</c:v>
                </c:pt>
                <c:pt idx="1">
                  <c:v>other</c:v>
                </c:pt>
                <c:pt idx="2">
                  <c:v>Data Analyst</c:v>
                </c:pt>
                <c:pt idx="3">
                  <c:v>Machine Learning Engineer</c:v>
                </c:pt>
                <c:pt idx="4">
                  <c:v>Data Engineer</c:v>
                </c:pt>
              </c:strCache>
            </c:strRef>
          </c:cat>
          <c:val>
            <c:numRef>
              <c:f>Analysis!$B$2:$B$6</c:f>
              <c:numCache>
                <c:formatCode>#,##0.00</c:formatCode>
                <c:ptCount val="5"/>
                <c:pt idx="0">
                  <c:v>99354.166666666657</c:v>
                </c:pt>
                <c:pt idx="1">
                  <c:v>103928.57142857142</c:v>
                </c:pt>
                <c:pt idx="2">
                  <c:v>93531.914893617024</c:v>
                </c:pt>
                <c:pt idx="3">
                  <c:v>92628.57142857142</c:v>
                </c:pt>
                <c:pt idx="4">
                  <c:v>94106.382978723399</c:v>
                </c:pt>
              </c:numCache>
            </c:numRef>
          </c:val>
          <c:extLst>
            <c:ext xmlns:c16="http://schemas.microsoft.com/office/drawing/2014/chart" uri="{C3380CC4-5D6E-409C-BE32-E72D297353CC}">
              <c16:uniqueId val="{00000000-9B1A-48D0-9BBD-12F6F9029FB9}"/>
            </c:ext>
          </c:extLst>
        </c:ser>
        <c:ser>
          <c:idx val="1"/>
          <c:order val="1"/>
          <c:tx>
            <c:strRef>
              <c:f>Analysis!$C$1</c:f>
              <c:strCache>
                <c:ptCount val="1"/>
                <c:pt idx="0">
                  <c:v>Sum of Max Sal Avg</c:v>
                </c:pt>
              </c:strCache>
            </c:strRef>
          </c:tx>
          <c:spPr>
            <a:solidFill>
              <a:schemeClr val="accent6">
                <a:shade val="76000"/>
              </a:schemeClr>
            </a:solidFill>
            <a:ln>
              <a:noFill/>
            </a:ln>
            <a:effectLst/>
          </c:spPr>
          <c:invertIfNegative val="0"/>
          <c:cat>
            <c:strRef>
              <c:f>Analysis!$A$2:$A$6</c:f>
              <c:strCache>
                <c:ptCount val="5"/>
                <c:pt idx="0">
                  <c:v>Data Scientist</c:v>
                </c:pt>
                <c:pt idx="1">
                  <c:v>other</c:v>
                </c:pt>
                <c:pt idx="2">
                  <c:v>Data Analyst</c:v>
                </c:pt>
                <c:pt idx="3">
                  <c:v>Machine Learning Engineer</c:v>
                </c:pt>
                <c:pt idx="4">
                  <c:v>Data Engineer</c:v>
                </c:pt>
              </c:strCache>
            </c:strRef>
          </c:cat>
          <c:val>
            <c:numRef>
              <c:f>Analysis!$C$2:$C$6</c:f>
              <c:numCache>
                <c:formatCode>#,##0.00</c:formatCode>
                <c:ptCount val="5"/>
                <c:pt idx="0">
                  <c:v>150967.59259259258</c:v>
                </c:pt>
                <c:pt idx="1">
                  <c:v>146750</c:v>
                </c:pt>
                <c:pt idx="2">
                  <c:v>142042.55319148937</c:v>
                </c:pt>
                <c:pt idx="3">
                  <c:v>140942.85714285713</c:v>
                </c:pt>
                <c:pt idx="4">
                  <c:v>133510.63829787233</c:v>
                </c:pt>
              </c:numCache>
            </c:numRef>
          </c:val>
          <c:extLst>
            <c:ext xmlns:c16="http://schemas.microsoft.com/office/drawing/2014/chart" uri="{C3380CC4-5D6E-409C-BE32-E72D297353CC}">
              <c16:uniqueId val="{00000001-9B1A-48D0-9BBD-12F6F9029FB9}"/>
            </c:ext>
          </c:extLst>
        </c:ser>
        <c:dLbls>
          <c:showLegendKey val="0"/>
          <c:showVal val="0"/>
          <c:showCatName val="0"/>
          <c:showSerName val="0"/>
          <c:showPercent val="0"/>
          <c:showBubbleSize val="0"/>
        </c:dLbls>
        <c:gapWidth val="182"/>
        <c:axId val="454029040"/>
        <c:axId val="454026640"/>
      </c:barChart>
      <c:catAx>
        <c:axId val="4540290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026640"/>
        <c:crosses val="autoZero"/>
        <c:auto val="1"/>
        <c:lblAlgn val="ctr"/>
        <c:lblOffset val="100"/>
        <c:noMultiLvlLbl val="0"/>
      </c:catAx>
      <c:valAx>
        <c:axId val="454026640"/>
        <c:scaling>
          <c:orientation val="minMax"/>
        </c:scaling>
        <c:delete val="0"/>
        <c:axPos val="b"/>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0290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[Finished Dashboard - Dana Mae Carbonel.xlsm]Analysis!PivotTable5</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bg1"/>
                </a:solidFill>
              </a:rPr>
              <a:t>Average Max Salary per Company Size</a:t>
            </a:r>
          </a:p>
        </c:rich>
      </c:tx>
      <c:overlay val="0"/>
      <c:spPr>
        <a:solidFill>
          <a:schemeClr val="accent3"/>
        </a:solid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Analysis!$B$8</c:f>
              <c:strCache>
                <c:ptCount val="1"/>
                <c:pt idx="0">
                  <c:v>Total</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Analysis!$A$9:$A$15</c:f>
              <c:strCache>
                <c:ptCount val="7"/>
                <c:pt idx="0">
                  <c:v>51-200</c:v>
                </c:pt>
                <c:pt idx="1">
                  <c:v>5001-10000</c:v>
                </c:pt>
                <c:pt idx="2">
                  <c:v>10000+</c:v>
                </c:pt>
                <c:pt idx="3">
                  <c:v>501-1000</c:v>
                </c:pt>
                <c:pt idx="4">
                  <c:v>1001-5000</c:v>
                </c:pt>
                <c:pt idx="5">
                  <c:v>1-50</c:v>
                </c:pt>
                <c:pt idx="6">
                  <c:v>201-500</c:v>
                </c:pt>
              </c:strCache>
            </c:strRef>
          </c:cat>
          <c:val>
            <c:numRef>
              <c:f>Analysis!$B$9:$B$15</c:f>
              <c:numCache>
                <c:formatCode>#,##0.00</c:formatCode>
                <c:ptCount val="7"/>
                <c:pt idx="0">
                  <c:v>151414.8148148148</c:v>
                </c:pt>
                <c:pt idx="1">
                  <c:v>149606.55737704918</c:v>
                </c:pt>
                <c:pt idx="2">
                  <c:v>147550</c:v>
                </c:pt>
                <c:pt idx="3">
                  <c:v>146402.5974025974</c:v>
                </c:pt>
                <c:pt idx="4">
                  <c:v>146105.76923076922</c:v>
                </c:pt>
                <c:pt idx="5">
                  <c:v>144627.90697674418</c:v>
                </c:pt>
                <c:pt idx="6">
                  <c:v>143082.35294117648</c:v>
                </c:pt>
              </c:numCache>
            </c:numRef>
          </c:val>
          <c:extLst>
            <c:ext xmlns:c16="http://schemas.microsoft.com/office/drawing/2014/chart" uri="{C3380CC4-5D6E-409C-BE32-E72D297353CC}">
              <c16:uniqueId val="{00000000-550D-4F74-B5D3-5677151F6001}"/>
            </c:ext>
          </c:extLst>
        </c:ser>
        <c:dLbls>
          <c:showLegendKey val="0"/>
          <c:showVal val="1"/>
          <c:showCatName val="0"/>
          <c:showSerName val="0"/>
          <c:showPercent val="0"/>
          <c:showBubbleSize val="0"/>
        </c:dLbls>
        <c:gapWidth val="150"/>
        <c:overlap val="-25"/>
        <c:axId val="312529552"/>
        <c:axId val="1728415888"/>
      </c:barChart>
      <c:catAx>
        <c:axId val="3125295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415888"/>
        <c:crosses val="autoZero"/>
        <c:auto val="1"/>
        <c:lblAlgn val="ctr"/>
        <c:lblOffset val="100"/>
        <c:noMultiLvlLbl val="0"/>
      </c:catAx>
      <c:valAx>
        <c:axId val="1728415888"/>
        <c:scaling>
          <c:orientation val="minMax"/>
        </c:scaling>
        <c:delete val="1"/>
        <c:axPos val="b"/>
        <c:numFmt formatCode="#,##0.00" sourceLinked="1"/>
        <c:majorTickMark val="none"/>
        <c:minorTickMark val="none"/>
        <c:tickLblPos val="nextTo"/>
        <c:crossAx val="3125295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[Finished Dashboard - Dana Mae Carbonel.xlsm]Analysis!PivotTable7</c:name>
    <c:fmtId val="2"/>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solidFill>
                  <a:schemeClr val="bg1"/>
                </a:solidFill>
              </a:rPr>
              <a:t>Top 5</a:t>
            </a:r>
            <a:r>
              <a:rPr lang="en-US" baseline="0">
                <a:solidFill>
                  <a:schemeClr val="bg1"/>
                </a:solidFill>
              </a:rPr>
              <a:t> States with the Most Number of Data Science Related Jobs</a:t>
            </a:r>
            <a:endParaRPr lang="en-US">
              <a:solidFill>
                <a:schemeClr val="bg1"/>
              </a:solidFill>
            </a:endParaRPr>
          </a:p>
        </c:rich>
      </c:tx>
      <c:overlay val="0"/>
      <c:spPr>
        <a:solidFill>
          <a:schemeClr val="accent3"/>
        </a:solid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Analysis!$B$16</c:f>
              <c:strCache>
                <c:ptCount val="1"/>
                <c:pt idx="0">
                  <c:v>Total</c:v>
                </c:pt>
              </c:strCache>
            </c:strRef>
          </c:tx>
          <c:spPr>
            <a:solidFill>
              <a:schemeClr val="accent6"/>
            </a:solidFill>
            <a:ln>
              <a:noFill/>
            </a:ln>
            <a:effectLst/>
          </c:spPr>
          <c:invertIfNegative val="0"/>
          <c:cat>
            <c:strRef>
              <c:f>Analysis!$A$17:$A$21</c:f>
              <c:strCache>
                <c:ptCount val="5"/>
                <c:pt idx="0">
                  <c:v>California</c:v>
                </c:pt>
                <c:pt idx="1">
                  <c:v>Virginia</c:v>
                </c:pt>
                <c:pt idx="2">
                  <c:v>Massachusetts</c:v>
                </c:pt>
                <c:pt idx="3">
                  <c:v>New York</c:v>
                </c:pt>
                <c:pt idx="4">
                  <c:v>Maryland</c:v>
                </c:pt>
              </c:strCache>
            </c:strRef>
          </c:cat>
          <c:val>
            <c:numRef>
              <c:f>Analysis!$B$17:$B$21</c:f>
              <c:numCache>
                <c:formatCode>General</c:formatCode>
                <c:ptCount val="5"/>
                <c:pt idx="0">
                  <c:v>148</c:v>
                </c:pt>
                <c:pt idx="1">
                  <c:v>86</c:v>
                </c:pt>
                <c:pt idx="2">
                  <c:v>61</c:v>
                </c:pt>
                <c:pt idx="3">
                  <c:v>51</c:v>
                </c:pt>
                <c:pt idx="4">
                  <c:v>39</c:v>
                </c:pt>
              </c:numCache>
            </c:numRef>
          </c:val>
          <c:extLst>
            <c:ext xmlns:c16="http://schemas.microsoft.com/office/drawing/2014/chart" uri="{C3380CC4-5D6E-409C-BE32-E72D297353CC}">
              <c16:uniqueId val="{00000000-510F-46C4-95BD-B03800C0011B}"/>
            </c:ext>
          </c:extLst>
        </c:ser>
        <c:dLbls>
          <c:showLegendKey val="0"/>
          <c:showVal val="0"/>
          <c:showCatName val="0"/>
          <c:showSerName val="0"/>
          <c:showPercent val="0"/>
          <c:showBubbleSize val="0"/>
        </c:dLbls>
        <c:gapWidth val="219"/>
        <c:overlap val="-27"/>
        <c:axId val="1738382208"/>
        <c:axId val="1738377408"/>
      </c:barChart>
      <c:catAx>
        <c:axId val="17383822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8377408"/>
        <c:crosses val="autoZero"/>
        <c:auto val="1"/>
        <c:lblAlgn val="ctr"/>
        <c:lblOffset val="100"/>
        <c:noMultiLvlLbl val="0"/>
      </c:catAx>
      <c:valAx>
        <c:axId val="17383774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83822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[Finished Dashboard - Dana Mae Carbonel.xlsm]Analysis!PivotTable3</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sz="1400" b="0" i="0" u="none" strike="noStrike" kern="1200" spc="0" baseline="0">
                <a:solidFill>
                  <a:schemeClr val="bg1"/>
                </a:solidFill>
              </a:rPr>
              <a:t>Min and Max Average Salary per Sector</a:t>
            </a:r>
          </a:p>
        </c:rich>
      </c:tx>
      <c:overlay val="0"/>
      <c:spPr>
        <a:solidFill>
          <a:schemeClr val="accent3"/>
        </a:solid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Analysis!$F$1</c:f>
              <c:strCache>
                <c:ptCount val="1"/>
                <c:pt idx="0">
                  <c:v>Sum of Avg Min Sal</c:v>
                </c:pt>
              </c:strCache>
            </c:strRef>
          </c:tx>
          <c:spPr>
            <a:solidFill>
              <a:schemeClr val="accent6">
                <a:tint val="77000"/>
              </a:schemeClr>
            </a:solidFill>
            <a:ln>
              <a:noFill/>
            </a:ln>
            <a:effectLst/>
          </c:spPr>
          <c:invertIfNegative val="0"/>
          <c:cat>
            <c:strRef>
              <c:f>Analysis!$E$2:$E$24</c:f>
              <c:strCache>
                <c:ptCount val="23"/>
                <c:pt idx="0">
                  <c:v>Accounting &amp; Legal</c:v>
                </c:pt>
                <c:pt idx="1">
                  <c:v>Aerospace &amp; Defense</c:v>
                </c:pt>
                <c:pt idx="2">
                  <c:v>Agriculture &amp; Forestry</c:v>
                </c:pt>
                <c:pt idx="3">
                  <c:v>Biotech &amp; Pharmaceuticals</c:v>
                </c:pt>
                <c:pt idx="4">
                  <c:v>Business Services</c:v>
                </c:pt>
                <c:pt idx="5">
                  <c:v>Construction, Repair &amp; Maintenance</c:v>
                </c:pt>
                <c:pt idx="6">
                  <c:v>Consumer Services</c:v>
                </c:pt>
                <c:pt idx="7">
                  <c:v>Education</c:v>
                </c:pt>
                <c:pt idx="8">
                  <c:v>Finance</c:v>
                </c:pt>
                <c:pt idx="9">
                  <c:v>Government</c:v>
                </c:pt>
                <c:pt idx="10">
                  <c:v>Health Care</c:v>
                </c:pt>
                <c:pt idx="11">
                  <c:v>Information Technology</c:v>
                </c:pt>
                <c:pt idx="12">
                  <c:v>Insurance</c:v>
                </c:pt>
                <c:pt idx="13">
                  <c:v>Manufacturing</c:v>
                </c:pt>
                <c:pt idx="14">
                  <c:v>Media</c:v>
                </c:pt>
                <c:pt idx="15">
                  <c:v>Non-Profit</c:v>
                </c:pt>
                <c:pt idx="16">
                  <c:v>Oil, Gas, Energy &amp; Utilities</c:v>
                </c:pt>
                <c:pt idx="17">
                  <c:v>Others</c:v>
                </c:pt>
                <c:pt idx="18">
                  <c:v>Real Estate</c:v>
                </c:pt>
                <c:pt idx="19">
                  <c:v>Retail</c:v>
                </c:pt>
                <c:pt idx="20">
                  <c:v>Telecommunications</c:v>
                </c:pt>
                <c:pt idx="21">
                  <c:v>Transportation &amp; Logistics</c:v>
                </c:pt>
                <c:pt idx="22">
                  <c:v>Travel &amp; Tourism</c:v>
                </c:pt>
              </c:strCache>
            </c:strRef>
          </c:cat>
          <c:val>
            <c:numRef>
              <c:f>Analysis!$F$2:$F$24</c:f>
              <c:numCache>
                <c:formatCode>#,##0.00</c:formatCode>
                <c:ptCount val="23"/>
                <c:pt idx="0">
                  <c:v>99666.666666666672</c:v>
                </c:pt>
                <c:pt idx="1">
                  <c:v>108021.73913043478</c:v>
                </c:pt>
                <c:pt idx="2">
                  <c:v>75666.666666666672</c:v>
                </c:pt>
                <c:pt idx="3">
                  <c:v>97954.545454545456</c:v>
                </c:pt>
                <c:pt idx="4">
                  <c:v>104566.66666666667</c:v>
                </c:pt>
                <c:pt idx="5">
                  <c:v>55500</c:v>
                </c:pt>
                <c:pt idx="6">
                  <c:v>158500</c:v>
                </c:pt>
                <c:pt idx="7">
                  <c:v>95333.333333333328</c:v>
                </c:pt>
                <c:pt idx="8">
                  <c:v>91909.090909090912</c:v>
                </c:pt>
                <c:pt idx="9">
                  <c:v>108529.41176470587</c:v>
                </c:pt>
                <c:pt idx="10">
                  <c:v>97333.333333333328</c:v>
                </c:pt>
                <c:pt idx="11">
                  <c:v>95037.234042553202</c:v>
                </c:pt>
                <c:pt idx="12">
                  <c:v>88781.25</c:v>
                </c:pt>
                <c:pt idx="13">
                  <c:v>100956.52173913043</c:v>
                </c:pt>
                <c:pt idx="14">
                  <c:v>126400</c:v>
                </c:pt>
                <c:pt idx="15">
                  <c:v>31000</c:v>
                </c:pt>
                <c:pt idx="16">
                  <c:v>82800</c:v>
                </c:pt>
                <c:pt idx="17">
                  <c:v>100840.90909090909</c:v>
                </c:pt>
                <c:pt idx="18">
                  <c:v>87666.666666666672</c:v>
                </c:pt>
                <c:pt idx="19">
                  <c:v>119857.14285714286</c:v>
                </c:pt>
                <c:pt idx="20">
                  <c:v>90714.28571428571</c:v>
                </c:pt>
                <c:pt idx="21">
                  <c:v>92333.333333333328</c:v>
                </c:pt>
                <c:pt idx="22">
                  <c:v>106333.33333333334</c:v>
                </c:pt>
              </c:numCache>
            </c:numRef>
          </c:val>
          <c:extLst>
            <c:ext xmlns:c16="http://schemas.microsoft.com/office/drawing/2014/chart" uri="{C3380CC4-5D6E-409C-BE32-E72D297353CC}">
              <c16:uniqueId val="{00000000-2628-4A5D-975A-558060348B93}"/>
            </c:ext>
          </c:extLst>
        </c:ser>
        <c:ser>
          <c:idx val="1"/>
          <c:order val="1"/>
          <c:tx>
            <c:strRef>
              <c:f>Analysis!$G$1</c:f>
              <c:strCache>
                <c:ptCount val="1"/>
                <c:pt idx="0">
                  <c:v>Sum of Avg Max Sal</c:v>
                </c:pt>
              </c:strCache>
            </c:strRef>
          </c:tx>
          <c:spPr>
            <a:solidFill>
              <a:schemeClr val="accent6">
                <a:shade val="76000"/>
              </a:schemeClr>
            </a:solidFill>
            <a:ln>
              <a:noFill/>
            </a:ln>
            <a:effectLst/>
          </c:spPr>
          <c:invertIfNegative val="0"/>
          <c:cat>
            <c:strRef>
              <c:f>Analysis!$E$2:$E$24</c:f>
              <c:strCache>
                <c:ptCount val="23"/>
                <c:pt idx="0">
                  <c:v>Accounting &amp; Legal</c:v>
                </c:pt>
                <c:pt idx="1">
                  <c:v>Aerospace &amp; Defense</c:v>
                </c:pt>
                <c:pt idx="2">
                  <c:v>Agriculture &amp; Forestry</c:v>
                </c:pt>
                <c:pt idx="3">
                  <c:v>Biotech &amp; Pharmaceuticals</c:v>
                </c:pt>
                <c:pt idx="4">
                  <c:v>Business Services</c:v>
                </c:pt>
                <c:pt idx="5">
                  <c:v>Construction, Repair &amp; Maintenance</c:v>
                </c:pt>
                <c:pt idx="6">
                  <c:v>Consumer Services</c:v>
                </c:pt>
                <c:pt idx="7">
                  <c:v>Education</c:v>
                </c:pt>
                <c:pt idx="8">
                  <c:v>Finance</c:v>
                </c:pt>
                <c:pt idx="9">
                  <c:v>Government</c:v>
                </c:pt>
                <c:pt idx="10">
                  <c:v>Health Care</c:v>
                </c:pt>
                <c:pt idx="11">
                  <c:v>Information Technology</c:v>
                </c:pt>
                <c:pt idx="12">
                  <c:v>Insurance</c:v>
                </c:pt>
                <c:pt idx="13">
                  <c:v>Manufacturing</c:v>
                </c:pt>
                <c:pt idx="14">
                  <c:v>Media</c:v>
                </c:pt>
                <c:pt idx="15">
                  <c:v>Non-Profit</c:v>
                </c:pt>
                <c:pt idx="16">
                  <c:v>Oil, Gas, Energy &amp; Utilities</c:v>
                </c:pt>
                <c:pt idx="17">
                  <c:v>Others</c:v>
                </c:pt>
                <c:pt idx="18">
                  <c:v>Real Estate</c:v>
                </c:pt>
                <c:pt idx="19">
                  <c:v>Retail</c:v>
                </c:pt>
                <c:pt idx="20">
                  <c:v>Telecommunications</c:v>
                </c:pt>
                <c:pt idx="21">
                  <c:v>Transportation &amp; Logistics</c:v>
                </c:pt>
                <c:pt idx="22">
                  <c:v>Travel &amp; Tourism</c:v>
                </c:pt>
              </c:strCache>
            </c:strRef>
          </c:cat>
          <c:val>
            <c:numRef>
              <c:f>Analysis!$G$2:$G$24</c:f>
              <c:numCache>
                <c:formatCode>#,##0.00</c:formatCode>
                <c:ptCount val="23"/>
                <c:pt idx="0">
                  <c:v>149666.66666666666</c:v>
                </c:pt>
                <c:pt idx="1">
                  <c:v>157369.5652173913</c:v>
                </c:pt>
                <c:pt idx="2">
                  <c:v>132000</c:v>
                </c:pt>
                <c:pt idx="3">
                  <c:v>147787.87878787878</c:v>
                </c:pt>
                <c:pt idx="4">
                  <c:v>155591.66666666666</c:v>
                </c:pt>
                <c:pt idx="5">
                  <c:v>94000</c:v>
                </c:pt>
                <c:pt idx="6">
                  <c:v>249000</c:v>
                </c:pt>
                <c:pt idx="7">
                  <c:v>140333.33333333334</c:v>
                </c:pt>
                <c:pt idx="8">
                  <c:v>139090.90909090909</c:v>
                </c:pt>
                <c:pt idx="9">
                  <c:v>160411.76470588235</c:v>
                </c:pt>
                <c:pt idx="10">
                  <c:v>142190.47619047618</c:v>
                </c:pt>
                <c:pt idx="11">
                  <c:v>142781.91489361701</c:v>
                </c:pt>
                <c:pt idx="12">
                  <c:v>133781.25</c:v>
                </c:pt>
                <c:pt idx="13">
                  <c:v>145521.73913043478</c:v>
                </c:pt>
                <c:pt idx="14">
                  <c:v>184200</c:v>
                </c:pt>
                <c:pt idx="15">
                  <c:v>56000</c:v>
                </c:pt>
                <c:pt idx="16">
                  <c:v>119800</c:v>
                </c:pt>
                <c:pt idx="17">
                  <c:v>157113.63636363635</c:v>
                </c:pt>
                <c:pt idx="18">
                  <c:v>146000</c:v>
                </c:pt>
                <c:pt idx="19">
                  <c:v>180428.57142857142</c:v>
                </c:pt>
                <c:pt idx="20">
                  <c:v>134000</c:v>
                </c:pt>
                <c:pt idx="21">
                  <c:v>143166.66666666666</c:v>
                </c:pt>
                <c:pt idx="22">
                  <c:v>151000</c:v>
                </c:pt>
              </c:numCache>
            </c:numRef>
          </c:val>
          <c:extLst>
            <c:ext xmlns:c16="http://schemas.microsoft.com/office/drawing/2014/chart" uri="{C3380CC4-5D6E-409C-BE32-E72D297353CC}">
              <c16:uniqueId val="{00000001-2628-4A5D-975A-558060348B93}"/>
            </c:ext>
          </c:extLst>
        </c:ser>
        <c:dLbls>
          <c:showLegendKey val="0"/>
          <c:showVal val="0"/>
          <c:showCatName val="0"/>
          <c:showSerName val="0"/>
          <c:showPercent val="0"/>
          <c:showBubbleSize val="0"/>
        </c:dLbls>
        <c:gapWidth val="219"/>
        <c:overlap val="-27"/>
        <c:axId val="120699631"/>
        <c:axId val="120700111"/>
      </c:barChart>
      <c:catAx>
        <c:axId val="1206996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700111"/>
        <c:crosses val="autoZero"/>
        <c:auto val="1"/>
        <c:lblAlgn val="ctr"/>
        <c:lblOffset val="100"/>
        <c:noMultiLvlLbl val="0"/>
      </c:catAx>
      <c:valAx>
        <c:axId val="12070011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69963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txData>
          <cx:v>US STATES with Numbers of Employed in Data Science Careers</cx:v>
        </cx:txData>
      </cx:tx>
      <cx:spPr>
        <a:solidFill>
          <a:srgbClr val="00B050"/>
        </a:solidFill>
      </cx:spPr>
      <cx:txPr>
        <a:bodyPr spcFirstLastPara="1" vertOverflow="ellipsis" horzOverflow="overflow" wrap="square" lIns="0" tIns="0" rIns="0" bIns="0" anchor="ctr" anchorCtr="1"/>
        <a:lstStyle/>
        <a:p>
          <a:pPr algn="ctr" rtl="0">
            <a:defRPr/>
          </a:pPr>
          <a:r>
            <a:rPr lang="en-US" sz="2800" b="0" i="0" u="none" strike="noStrike" baseline="0">
              <a:solidFill>
                <a:schemeClr val="bg1"/>
              </a:solidFill>
              <a:latin typeface="Aptos Narrow" panose="02110004020202020204"/>
            </a:rPr>
            <a:t>US STATES with Numbers of Employed in Data Science Careers</a:t>
          </a:r>
        </a:p>
      </cx:txPr>
    </cx:title>
    <cx:plotArea>
      <cx:plotAreaRegion>
        <cx:series layoutId="regionMap" uniqueId="{DEB5C7A1-E05B-469F-BD16-B896404076A5}">
          <cx:tx>
            <cx:txData>
              <cx:f>_xlchart.v5.2</cx:f>
              <cx:v>Count</cx:v>
            </cx:txData>
          </cx:tx>
          <cx:dataLabels pos="ctr">
            <cx:visibility seriesName="0" categoryName="0" value="1"/>
          </cx:dataLabels>
          <cx:dataId val="0"/>
          <cx:layoutPr>
            <cx:regionLabelLayout val="showAll"/>
            <cx:geography cultureLanguage="en-US" cultureRegion="PH" attribution="Powered by Bing">
              <cx:geoCache provider="{E9337A44-BEBE-4D9F-B70C-5C5E7DAFC167}">
                <cx:binary>1H1rb9vGuvVfCfL5pcu5krOxe4BNyvItdhI7Sdt8IRTb5Z1DDu/89WfRklObUWNv1OcFLBQRLGrE
mVnPdT3PsP++Hv51nd1uzJshz4r6X9fDr2+jpin/9csv9XV0m2/qgzy+NrrWfzYH1zr/Rf/5Z3x9
+8uN2fRxEf5CbcJ/uY42prkd3v7Pv/Fr4a1+p683TayLj+2tGS9v6zZr6p9c23vpzeYmj4tVXDcm
vm7Ir28vbvs3f2iTvn1zWzRxM34ay9tf3z761ts3vyx/64f7vskwtaa9wVhODxRTlDNG7bsXe/sm
00W4u2w54kDiipCEq7uXvL/3xSbH+OfM6G4+m5sbc1vXWNLd+8ORj+aPC3+8fXOt26KZ9y3EFv76
9nMRN7c3b66aTXNbv30T19rffsHX8yI+X92t+pfHO/8//158gH1YfPIAnOWmPXXpB2w+N5vofm/+
OS5MHTDKHEdSscWFPsaFEHIgHZdSKheIPDWP/WhsRy2Q+PzpVSLxJTZhXMSbF0TDORCEuopJZ6sF
7mM0HPdAKtfmzCXb6+L+3lstec6M9uPy18gFNl/+8yqxOcmyuNAxlPjFLJh9QCgnXAh7LzauOiDc
lUy4Yntd3d97i81zZrQfm79GLrA5efc6sdH9C+oMPIvtcCkczvd6FsUOZtMmib27vrBjJ0/M5m8w
uRu1xON16sr5pq4311Fb3zbNSyoMPSAOfAt32BYYsjBm8Cy2sBlzncea8uz57IdmMXyB0fnrxOg/
Jp508YJqw/gBVYxS9z7gAggPA7I7xy+5UFLIO/iA3taUbs3ZMya0H57vAxfA/OfrqzRm/iaL/9Tm
pcMAKriUiqi9mkOIOpDQLYfwXRzwGJvnzWk/PA/HLhDyX6fqvI9ifb8//zxg5vYBJ0IwrpwtNuyx
3rj0wLEVogC6g2YRBjw1m/2obEct8Hh//Co15j7PfKP/fOPrrM2/vWgI7R4omzsuYfwxMI5zYBNJ
lWTuNj7D9YcG7b+d1n6g9v/KAriV/yqBW2faxDcv6IOoeyCUQMbDoCQPnQ+UiLsO49TdhQ5QsodY
PWMm++H5PnCByPp1RtJHtxop6AsiwuiB5C51uSJ7PY/LDjjniOls97v1ewjMMya0H5jvAxfAHL1S
n5Nmm0jnL4mMOBAu40h0thtvk8cqo0Ad2LO6ODvqYOl3njGj/dC8/z5ygc37s1dpxs7jutatie9N
yj+PCZh7AMZGgJjZac2CRFMwZ47DZm5g63oWKehzZrQfm79GLrA5f/8qsTkpbuLNi6Y56gBRtHLU
jrRRS08jD5ACubZUO71aRAXPmNB+ZL4PXABzcvEqgfltU0eoQTS6eDm14Q5CacKE4+5M1jIFpfaB
EPBH93oFk/fQ2TxvTvvheTh2gdBvr9PlXNx+M5s6fUGXw8mBQI45Vwe2Pmdp1tSBS2yHKlDSd68F
G/2cGe1H56+RC2wuDl+l9rxvoltzL7x/52/+D2tGZ5ui3rwgtQeHx10O5J1dErwMRuAQXRtmle24
8AXD9/R89svF/biFVJxdvUqp+HRbFChV3t4+JRmP640/K7MyceByKCSXu0hjUUBy5QHjjHLJdyq9
SKyeNaX92DwYuoDn0+t0eefxdRSHm5d0ePzABR2uwE7sLyGJA3DlCFbmkGV+/RAnPj2j/eD8tZYF
Nucnr1R1hhe1Z+SAgxfiLtmf9ipUydG5AHMH3ZpfUKuHkcin2yemsx+V3bAFJJ9+f5WQnG/MmG2K
m/ud+Ts3918YM1B5CEDgQx6nuo4ExUpQvVC7XpGFEXvOTPYD8tfIBSbnq1eJyQd4mHrMus2LlidA
gbsK1Yld1GcvqQgwrS5z3Tk42Kstz53Vfowej17g9OF1xu6/xfW1Lur4ZX2NZEoJJu8z38dKhHYF
BxZNCLWfYn3WlPYj9GDoAp7fXqe3eW9uwxdNfBma4VyJZhG5VZCFgSN3iS+cEUNc/dDPPD2R/Yjc
j1vA8f7yVVq1uRfweJOXYCTMC8bOnB1IFw2IKN5t01m4lYdFCQfp8NwoByrpezr8EJxnT2s/Rovh
C6guXmetb17U6a2pb8d7Qf7nYQHcD2EAQbD9bKvD545FgW7ZnXItKL3nzenvQbpfzxKh01epTO90
G9cvzLnaBwrEkC2hS9vXY0VSBPEDQU+pu3NNC4CeNaX9+DwYuoDn3euMDFAg12Zz84INDOBukL+g
i5HvOrEX3A2xUWlCAR3linud3Xb8PGcq+1H5a+QCFP91VikuI7SDvzmpXzbdAd0qqYuQbEfdzEnm
0v8QF6UKNGXdvRb4PHdW+zF6PHqB0+XrjNuudNtEb/yN0WgG3txL8z/3QAzxm43sk97TBYtIwZ0T
JJTI0UO3RWrB4zx/XvuxWo5foHXlv0pPNNcy5//KMn5BqNCORW0X8cAWiR/qf+ikEzh5wunOGi6g
euak9uP0aPACpPOrVwnSf7LNt82L9jUAICk5RZq6N+oGY+1yNAlTe0e9IVd6GHU/Y0L7wfk+cAHM
f15nK9B5PBcTdPOCZo7PxQJFOLtnehaRguIHRKHlBF3EjzF51lz2o/Jg6AKX89dZRfA1cLlu4uu2
ud+kf+6A5sqsI4hg96nqAhkHSsXQxkXooiT7zNnsx+bR4AU6/qdXac4utPm/iRAQQzPFHIFyzt1r
0drg4LCQK8AByV0dbuF2nj+v/VAtxy/QunidEcLqNtv0m5fkfHD80UZ0IOl9oRre5VHMLVAYciVn
ZBeUL/TpOTPaj9BfIxfYrA5fpSb9dls3b/46Rbh10f/c0iFbRXCAw133ZM/C0iHUluhQAR+0I4MQ
ij8MD549rf0oLYYvoPrty6uA6vqnh5wfIvXom//lCW+oEg5zzUjtPxiBGio6QsAq3FftFqzP4uz1
309rP1KL4Y9W8v/pYPffN/B8b9lYbZrN4d2R+gfnvn9+9W65OOi/GLqT8q2GPVrtvQKc3Pz6lnLs
8veD+vNPPNKOxaZt9/z7uNtN3fz61pLyQDmM4YQl0EM4aMNX9dD2X9/iCNJ8XlnZOLEscGDJBWNR
zB7117cgyxlYJMC9i0LqORfHELBPjArkxQStZQpnmL4/yeCDzkaUWb7vxu7vN0Wbf9Bx0dS/vmXQ
7nL7tXmW8x1RK1GwANSRKKlQTKC83lyiUxHfJv8vI4kpSJ+KW5cETasOaclLK/PtsounL0K0Zbrh
lhH1uqjGeuSrhg4iGnxLB/a3sDC8sHxNh9Q5VZEY21WqrKI67lWe1eeZyEtr9HQ6iPKbSJtk0Cvs
VZYwP3QcTm6dQY/tZRYNTrZxXVEG1yxnlbwIZVyVzMtJXGMqvBQmfx8Ru+mLVZgJk5ae7kWevyPO
WGHKYZ6T8YzmrEj+tOpOY8wDSPdsEkKNR3sEqpxyhT7KuWaL7YJEPNwjh+RxG8nIvQ16XSTVcZPz
jB9nvKuNczzVYRP3/hSXOOaW2UFMg/XPb0+QDDy+P1qfUWrEoXUGpDCZx/efEubW0pbxTUJSlsZ+
o5lgkacUtapkbYY+NM3KRE3II8/i1lQWH3rOxpr6hE+yZ6eNjIo69bSumCEX4M8qXHtiknAjDyfp
UAkPL5W00Y8qcSgFMv5ok3IA3xVd+dURWiTCL21UGCovCFqljE8mx8KUg9EJnWqdZS3HtbZVVnNS
ksDFpaFvmKzWbc8Gm65+Pjk+3/yBlGNyqNTaQhGclHFBVywQTIe0zoNIl19Lg5JYdcjq1OXnlERs
PGN1O1aVp4Ium77k0TCOjtdGpq8iv7NpLy/DagqsY5PzZPpirLaWF24sZ8EfeJdn6ihtRa7Hla6Z
6lJv7BzRXZYmSacvUybTPvXsLJvBiFVmBQ1yBBXhQzbiwOoXNx+GJvCYSEa81ZMdNu6qFDWr19Jp
B4xKhzCG4lR3t1duaI295+ohwU9oKAVmHlvFLPNNKfJ0M9SyqMq16gzprjjTU/POmDQwXpblhua+
FQb5cBxyCM0fhVsE/Etnd8TKDx03hP50VaGhej/ffoR4y913cKoCvos7EkWnhWiwYCxCosrs60Ty
2oTeQG2nrL1eJzo7YW3V1xwh3Xcj/GGL7EOzNlutR3jPZ9kpcWdrC7O2vGNt7Drqc9b/waZ2Fsa+
5bkpVrR2Uoif7CohvwYJmyCEPW2bOjx3CJ4oYZ5QijlZfDQPBmaGOqDHUEyjHNYf1x9Y14l1bWUp
mX/JeZE3zGt0K6xbXUXVKM6itC7IoQkcHX/oajeceq+MhA4PQ7ehnfZcx+mzzmtoWJ1lgSuvBmYy
d/TqnsjusnEtO/YrMQ36DEJkR15i8yAuPR5IQopTO7Ihh7qLQECcBEnaQETSjgv2Ho8qccrRY6lh
Q3f0840nCPcfrtjFYXR7ftQJvat/wNc9XnEqg6joq9r53LWFDeMsjKEwzt00yy3Hw2v4cUT6AWI7
pIrhLWzuLLYly1mkWZv0NLgKBjmLNK3iKTfHcUkZJDSpptom6yrryjo+msSYQuuCPp99BRndHNrp
kApq9PMlLW0HqDOGx1LgkSI46D073McrGqLYopFh1o20DAzCKpy2NszlDbO9wjRSfk2FHTQnP7/v
wus4uC9XaBHGc2UoMFret2xH7WiLuTfhCG8qvc4us/r3iAe0CL0+idv4fRHg6UiNF0UakDyx7AWQ
uL2Dbj4cZVMcR3ERHTxedii62LKHiN1YTuZUzBe9LcUGIQJMtp5iJ7uILaLJOUursb1Ka9ueIg8N
Bxk25ecbsVQiW1AcYRBiNtzYDbYAoJGxnYxpEVwHaiqEOdJVmQfjoRXktRqPRtc87TB+XDwIb7T4
4kTSXZ1iIcWREwVZMtrmhsse8ct6JHIi6VqYvoWtit2Ay6+mxa5XXi3R8vBV22Nn1GEXa7vsnxAE
sojRHDguPLHmLgTB0Vso2AIKNSVClY31Db7Lya3joYlmV58POsLzl9o+4RP347weaekNijLMSsR2
1F7lpUxGv7CIKa5UHs0msBLa0Mu8i4v6289hWtpcNNvYsLpcEBBr0JaFj237wDV2NQ3fBtMYCIHd
pjY2yx56JixvMKyzrkqaVrPSNL2e3+IybP/bzSIw1GhFxXkklzP+g6t3K1o3Yy31tyITFpx0grgM
lrUb7QY2lwUCEW0dtibd5IkoYGRMmRsijl0rseC+qwhx5BzTjhFGFfGUdWd8SEudP+EblpbSQWkL
Z97o/GwoICzlIvIeWF+UqpjYtzqgcjZvTV1m7YdqauKy8PtqrDA5y8k7XNNjNYcYbjqN1lVflsFJ
rUyWhH4+TfZ4lkdVAbtXKFsiwGiFbWWXMlfhlPs4OTxHEdRKxtkpTIhB4AfioIfp/Tn+dBEBurAT
LoQL0R88HQp7iwVVrMgnnRT0s9tEDDFIU4azoW4s1s4hzl28gxrSCBseRMMcCiGmnEMvU1aAw4oI
wngyiPkjXaU4qZOpxOHHcZ/N/qIaey0vgmrAt+KIza5gDHNZr1PLMWxduqZjtT9iV7FTTyxtYYux
NIXj8JQgpLAFHmG0WFozpMTJWj1+ZmE3R3SNqeCCp2yK9XVjuyktvLHR1fTFocUsRbmlCRzXIPMs
HA+nXJImXCtmtf1n2HKD7eidhAEQ1k2IuorYUnDFvM9KXKpbhJfHMS17ANdAb3HDuAls/IUci2Ar
8pBjK5rGiazGF1mbQFQjRRP8td2fOWScDzr9LKZamGEXSgUb5FDhIu20f3AIpJ+4HGVlfepyRyOK
2joBGrlDl/rILKOweEJF6ML1zrfkIOipjfAdVftl4mUnGoa2HJxPdUsgIc2Ix+/ER9AQ7A9PSq7F
YdBbeqg9mbERG551QQHFhpnCLvVmyJoPjqzdIFkHDXcRNCFw6S4NCExEyrmFAKkZCgT0O9jCqi+w
lUPmFogpEG3McITpMANhJTHBmxoT1V3aOteYiUhTxPCpbOY89ee7zdXC6mPxc7CMYIrgISU/xh0w
mrUV2sP4KYpGmQVe06as9IPeDpILSSduxsMqMrJ0PUWpSiLPmCquTu2sZYPwStgE68yEucXPgzxy
mF/1egiv7Tizj/ug5XKVOoXObniSTeYy1zLHQxQnkvXveUfsYVq5SaFE6VewsnW77nvhdhemioJB
ezK3c/KO2YaoVVEYRfxkaFoTeHpwqynxoqIzfPDDIe2gDN1k+jHzBkskPFkrSlp+JbNm5KFvD6Tt
26NS9REJYOWCsDlpIgf2y3emrJ8mpLUQxfJkSMeg9aq6TOS6U07IViK3hulTLzWNv7Q8C4MV4w0l
/ogoTo+eDJtarVRM+9QPRRYe40FLzarSdj+dBaqw7SPSk4iuQ6t2I/uwTHXOP4+iC1Prs9L2MHwa
moE151bdFNYlImunvRFGSvN5crqw0F6pNYnqj2qYsvQoiMFurCfN3Vx7KtWMRr5jprpyv5E8cYub
iJa6G1YQlbG6VW3T97afZn1NkuMmKCrhruAtRSaPgtxK5YUijpWmR50saZ1Ft5FbsAa7PBDmGn4+
Md1BpCdi6jL6iP7lRtqHRcHL0jlpVRBH2btCDGkVHiZd2PTdu14EYRyvA573rbgMCsqqE5nwKHTX
kBXJUq/sJhvpT1a7ca+80OKyalZRYKZkPOnD2orioz7OEZX7qeo5DGxXxq34XVutFPUJhKO3Ar9n
SO/IRVsiO1VeMzJ3kO8z6jh4a7YfWnGc4Rqe/8Jxu0nXvPo2tZWi3WkiTRnSYzJYluP4YyLS1jka
ioTkmSd4N+cPtrBiLCdkAk5lMwQjauJ+IiIlwvdjX/al8yEJrKTP1k7KLFqepO2o3O69TJiIlVcp
NbMPjmlElH5xwiCwpjPOsxo7ZY0VTPY5rHYViTOLBcbJ3pG4ikn2IUn6xA0O+wSGIDzUMZorjQ+T
NU9p7KzMpod2GI1xtbLLNDHuqmhsSxS/05AWuF+eZEp9bkO3qnyDaBE7S902hgfxiYzmH8H8kdp5
VaXmUJZHNVbvlxEpmFwnUT/vGMuaFG+6jhrrqsid2eTzrgldx1d9oyEAU4Ek4KhRJsf3yu1So0ZM
2L4qcfCCL6kD3C2LCEKxgsQzPKTkERW/kWyY97ngKgGXZLWWARRWkboRv60qED/V2sQxMlK/d8no
VH7sRqK1gCBvq/ZLkxRtXGC/rGjSR1E7cTKcu4kzTzkG0uV0JSFZuAPDpepbYA2zgEljzciL0cJn
mcrnrek6gq/CxbpVjzl0aPrHGnfrMYax6hsItwifiaHU8ioVPFDM571CmuSVTkSwFzvpCaZa4Sed
xJoXFzTj3Wa0kBrj77gAJSYx/8VqkZ4zOzbW1W6rre3X7zd5+z3E0zQ9d2iZYwKksKLuWxrLMjZH
ccFGLLqiE55d64WUhbF9hTA11MoTW6D01DUQNcSnrQlPCqLGQHgkjbpRvld5q7FLHc0zfIWWyESN
j2Qg6JSX2uNMDoS5oPgwc0K7+qa2O6hLaBDs2nZNEY3BZfmlLmRPjsfWnWNYewvtVjxkkGbYH8lj
jDgUTjYvfpBjBDkNiZlvE/FI4sNRV7YTfZ6smLfNKVbK5u3dCtLUji1miUXOv0JiU2McKhsM0lU3
0Tz17YZaUz/hD50xzZ1DyxZFmpxMqFYN5VE45332YR+3GjqtknDOD+oe+MadQ6tvRIYFxKcWyOyx
eNOBFHhfg8uef5B28xvvQhdvWWHP6pBPYp5/0cow6j+3WZiF8boIXfxuVDESsuO0Hh3SnLGtrMRJ
rRrnaLflKukMpjPELMWPwANo3Dwp4xR+viPVJO3PiNwSt1uVldUUsW/XYYCbiyTCw81WTVaCAcgQ
ViOxAUxRe+LocFbnFv4Vn6VjKxN3nSJYHMZTpups0McN13ae+5niWd55QR0iuSaKtPh+1FQ13hA0
iuwir1r8O+Y9Uk1h9wQJVQUuP7vo0iYAedqbBHcnUai7L7IIBqQMwTjNst/jpCtI4oFVFBbGNVHW
uodZDhebHw5WEaj6RCi4quEPWw4J7E2YaZ2mxzs6OWmyyCTrNsrAC16PvMbziY/LJMJ2HLE7nam0
m2HD6qBPg+kLi1zdN58r1ke9PG62Sx9UWGOLWDlMKVaUhn0tDuVkE1i5xvB5+8hQzlKDrG4W8S3L
4NZpjx0gLZ3X28QxxZuBgM9pbAzCwPLibAL7gj7DtFAeqN1R5uesJAbfkCOZub5OtDXkaktGT0Rk
Jli3RWUCehIG1YTfmLYJagD6Erl1JXgKViEgKSjCPAfHVPhNBgJXnOWpnPWp4X0MEj5M3Qamkslg
hM+rR1iaZA0GcN68NmYzpUpbNwUXn2RFiOE4/IdV/tEjPAus0z6ojYkvFEvmVF63cHfnThow2Xzk
SPbG4HAIEmuM1rIvRVavQPESyT0HZLn8ykNGkOTDGSqAP1l8wqpkkc9uIxfBLG6GGgLh2+5k0mjw
NSy2Y9ad9pPIA+djOrW9dWUQTCNJn8pKya+wt5Avqy8n7EDC7XkNQVlYMP6g4WY2P4sRryKyVrnu
y69SjVFFvvEhk9mFlFU5BmtOdd1Yf/YxSYbgEB6NZcKrM7BElu9mxDFfkLf3afPJDqskDP1AjCwa
LnsHsU11o7q4q+gfdeCCwj0yadvlyrfoVKdfJt5Srr0W3mEAKUqIRkzpOEK1pIWU54mifocPLafz
nB6VqWG1W8kWy6pMQKP4eDDdOC/rztxkWTfbPzWGszVB9D8rb1zn8zeKO44rSOj8mSC2hW+M4Th/
MWBgcfNDMJwzAxhnQQlVDhEtBhdTM5LyMIGizlqp8vnKTmQRU8ISKZyQwaUtazSbUyv0zTAa5niE
Gtv90EZO2GuvtwtwTHycAkVP+qqYtTy0prlsUqNOhDeOsKw5qSYb8s1tsHQXyO7nmacxKo1fdzcS
RsGlVRAV62qbsRVxMjmplxRlyz+mW4OVbgsyFQ4lQBqsrJqLNbWRhvNVHuaVDryokq111caixJqb
HlW87jSm4RzGRXzAPZwum6fV3imcpVP4ES8Q7azkJZ3LjKuiH2aZdIKJprEnorrI88MoyaCN6+2G
gC2ZjV6Kg1/4XV4TKzmLKMsc94kCwSKhB58K+wAJpjBukvxAvkQNDjOD1aFXkdYSs3bCcIA29Bpm
trL4rEFZB4I68rq4muf+RHYHxu5BfWK+PVo28SSq+eFtuP+CKzPtoK2+dkDpb01jgloZZoE8AJr0
81stqExok412AtwL1D7+lXNa/6AE0btp5QYIJe9lxE4Hrf2qDDh/j4P2s3QrGc2gtnEChDU3HJDt
jOPP5/KYQsChMMiPi6Y7V6IcDjlfMLlBxyjKXEl4pcA9y6+xIHM8Xtd4kt3hpBE6P7XPP94QPa8g
DvAwB4oizPw4gIeLTyNjkyy3g8tqKOAowhQe/8QZU5i5nWb/fIFkpmL/AnZeIWpctnDwDHKK5yUv
Cz5DlvCwaDJ5ubMYfTTNxc1RslGI9cBrt1snZTCZj23PxmSVt8Vsz5mBabDqicMfPTGjx5KOGSGV
mg8LMUcJDopuQR6PyrZ6Z2TVZbZVqh5xHXR8aNMAdj12uxgQRLwdoZmKwTkgtLCieSJJyap28rsK
mf1a5EwL2xtgWkYfpr7C16EfAbmIR4Z80u+3rG+5NbM/X8QSRgCHDmZboLKMEwHoNlvAKKOqoYPV
XUR1Olum6S4QKmtRtB9Hy205OpKfT3UJ8O04IoJnYN71U88dho/v5wyIRnD2qr3Yub0hjKrEszUs
q/ZMjWde/Hf3Q2l0PpcCxcBRYv6DOWB9gIpdFycXW7eEIHlGw0kz6EVRV7PD+PkNZ/vyQEwhECjT
z09UQz8KB6O54DP7cRpiM4n02CkskwrfyXOHfZUGCvOUCv54K0DngufGY1WQZC5NXR7QfGxDGR5v
Q5FOgB2BHNEqx9vPV0UeM9D4dXRoKJSs5gPZeOzysuxb2E0UJEOpru0ENPVOrahM51DRsHxOJ3u3
K3LfzrmhjueYDBVhL0MoWvsNKwbnc9LbMIJPzGvbIvJgw8FhYgsUGnfuymo4ufxYomwbdXUnjuoj
M1E7qg+pGOZaYotjFa3+s54KlKN8XYfgfJWXBxOyWK8RYUPyM0QRaA0KfZ2WYKTeUQ5OxP6QByIM
9fGImEXoi2CIUzKMfkBB9v9RV1WO9MwklBfVYZ61E218W9uyzleuEaAA37GBaCY/qG0/RiqRJLH3
QZGTajhPw6hTaOVpOxkTcDUJWkiOkQA5cb7KrKSEiOwCJ8fCsMhLt+EOMgcXTkzemddtCpTe7WYf
5RQuBSnrHJ70HbUQaGvqIn8paIvtRugnW+eC1dkcZFrbmKtEaQO42aVLpthL6yYnk1fURhXxSpZO
lrTePRVTwZ1H3i7Auovs0BnRY3+nyp2DC6fqwHgh50klPSxdjVvmKbKd7tRGtTkO/WzIca7mCHWG
LMk+M4Tjil3IsVG8PEmkbc0kRd0Z8L/jNj9U/VizahWlbQ46GMyQg+qHl0SNqwPfanXY27lX4RkP
gn5QlSqd/jCsYHSqT2JU3aQ/oQ4yl+MQm9pUXuimRnHjU1yCBQ9XkHMUA9eRqQhJ/JwgGP5zREpc
u6dCDj39SsQwNu4F6Lyg/FgolaT0MClqy0aGjlOlQ+OjxQyVsMNCj8B21Q90MqNnW2BMOh8hIxGu
P/Ix6N+lqm7qyUMxqY+R5SvXoK8ljuz6iNtZ03+Tdp6O0SrgSAQKL3eK3PxegBGyWs/dtkzsbGSF
alYo37k5/EmyLqJM0hbR/V38B0J+jl/Hopmd4VY0srsotXCyFKmkUahnl15nbJkTWNhQO5gGTVPq
9anVqU9wLtq9KgtlZes8FqHwojDsr8QYi2Q1xn1wFPOOHcc2m05yM3THYFj0pWMk9QclogsnbjIb
XHZnPgUQ6mMeCl170L7oW2LK7PfQjvVqUCRAjpyx5ghJOKguWogzt7S/6hTqWPSlfCf7uFw5PIqA
rm2ZdeIM/DDRcft+SrLGPkS20By6o80ySKzMr6OyvaKEl2eGW+FZ3tXNoahBjaOMHB53ulWrSPXu
R6eMKlTlyvgmrqtglUVl6I28KFYiUNWpO9F8PQYFuniKUnD8tDsWPk8KZ93jJ09c5InfzKDbI1Qt
g5tKpdlROpBs8kaViHWU2Pqq5KgZeBmoo9qzmA4/98PkbjKrEKAY2vxT79L40KaNfcptFcWetiz2
joM+XJumxrmZxAk+gtSM0W3QMHVDUIJCnkVKctnRJIrX5VhYh6TOm8u64yBCYApW9Ti0p6w2Y+qJ
vHf9wFFB5P4ed1SNJ+gga69ryhNyqNuyQfoV59HodXgE6K3bCCdfWYFlTnOFdrIVJ03ycehYivwt
12eibkjlB26kN3ZSl+8GPG73rJZkltBAzD0wYdefDgizz20n7U7AylunccoiunJh/W5I37PCmyaX
REjnS+uPvqz628qyBp/GZNrUdaIpOsJKtDVOUw3JjbIy89DvYNpVOfXpcCrbsAo9m5TxxUgcGGKk
en7Xs4yd4nGMWXlqhsqsadnSM5HlgwcG+ovox2u7DYILTqA+Xd02K1CeduyFQ945KzFqdsidprgo
I27+GMsBsaKN9qSw9toUPWyp78ShKD2rZXyDziLtMZoVRxoEhkftvPk4kCL9WEdjk/pp04Sfq2is
fjdDmVOvGtrBD4gpEy/B/NAx44ILhOIN0eTzwe0/KFpHmV9MXbJJ8nLyUHzKv+D/EFN5ZdmRjwrF
jZOSGtdvjR2c8rjgm9qVw7sEdYgO5RDe4qZB4wWtVSFTbsN30rV07GUkVRtjIdhauYgbE08k9f+y
d269cRvbl/9E/IN3soDBPPDSrdalJUuWbPml4FtYvBRZrBur+OlntZ2TYzs5CQ7mZR4GSIIYVqu7
yWJx77V+a3N9yLd8PGCjz/Oa9HtxpaOFPcBlB5u3MfkcL7M4WuOi4yBs/lEm9HlD//68r3wvj6tI
fTWsvPvqcUCOTBfGtChP/ZOWJKOVTFc4yWOnq5BZe8rJKI4r6uOo6gpFnsmsyafEieTtIOnyye52
/2qwwBtbLPFdCjDsGOJO0axu1U+oe4Mq22Z7G0g1ftjDZT4mU0TBVUDmPjMfpriXOexI4dCX0Kmy
Mb8qYBjVQs3DccyMfAaZkeDz2/g6CufkMOSJeoVeuD6QmcmryE/kiXO533RqWFtXYMtFe87785yG
+lqadHuYFZVvZVmmn5PRYnOIV2/Pqee4eKC13UeJNjdOFtup31yyQE8q5yPNedqgbQf5CTmGnPZA
0ltKmXyzxyV7LiHpvK57qd/iht9d4WIr7vYo0CAQ8v4wEZrdwnmPklpzMjXl7ucE613Oh70LlocR
1sBD5xax1iD7woPchvVVaJN2aPr3/VaS1NwAMxihWvDlbZfshGPP5q5NirG8iuBF1lbs6X1puwSO
gQy+BDQGQXLrs3TvSe25Qw3eFAZSe3k7ZoktdBvikWuTriYi6O0WiO4B6s90DlI/v0xafsRrOgjQ
ffSiOCqYwRTD2ZEB8FQmov6aLCL+YAJqtnpiW3gHVNM897G165HFU5LWhEXFTUoXWR5IyGdyzVkp
GvjL6V5Z+PBNSXZeVMOuia14QufzEoBDuPHBWuBY5+Gm5e1KLAyoyMloO83pyu8TlwZvipn0os6d
ZEvLiJCPQ9db3sKK9uyG9+PSN4GcM/BMlEbBsbBK7Y++nKVhx0vpETZkdRh1MOKoLVs3Xo/QCuRU
RwUqlzrjhto7qDiDqhMTdW+3Yl98vYRTfgvYhkbNFqFEvNEQCPRL1qMrldhHpNBZjsKpm4GFXlmd
F9dZ7MJ5eLsnnsa28m4NibmOsdmFpzKFU3FcJz/LhlmVmScSdOMAgrKbiKxkQLtprIOUuKc+AfVY
xSyd3iw+CvbjhgZ4qMNijcPbjQxurmMJf+GumLCdNsBb9maB4nY9xLqv8eSO8VoH3qnhfvJBTvYE
h38OHW+gH/HxQtmKOOP3WqdDqRufD/kUQ/hXC66HErZrbSIf8zaNzMRuRwbXuOIz5Od6126dq4R7
GFKFGcaruU+zpe22bLsbe8i3zeB6d5V0aVQ2eRmyAlLdIKPT2EkBm9Rkha/iDa58rmN9DjLiipoP
NFVVkY4JJEJoiS+RCOQXS1CaJFL4+LgsNErazrLYxDVKOBYsNZgBoMRbVbD80QfpUqAwM6Xvpxo7
qcYPLGHQu/4zNqG1zFsmJlFl3Ro50o68iArWitgtWXYXBTY3zzCZOb0a1jL92Fn7Yd9Z99wx8aEj
IhsqtAn8aQNz0tKSymOIm0eITSKXsOWK/Wby8XSWSW8OlklSi1XsoioAWYmK84w/yXnKGylzX5my
T7G/Ws0/647uh2KZYC92jt7B+SzDOnJqW5sdN5v0gSiWPBUAQGXTW2hQWA9YMBV45u1LtIjxjVhn
VbaqKLpbtczLk1mV7lrjOktPULO7ogq4Iye+DGsTz+t0GFeaPc1jGLVEs+VmpFlwF48uvYkFzNSl
UzDVCdqiJo4pRrqZwhx3F8dTFRa4CTchsatqRZQvZ/DfG9BzudGKqC109Tp2Q53myoqKRJyCAAPQ
bk4qx5drPcT3p53i2Q4Ufvx6HOD7NRIX5VbtfpRn3OVx8+/zcWr6AfUFPgJ9xF2nP5iC5LWZBXsZ
+i76AEXQHQATkeMSEn4oRDE8BEMoa8tz9j6c+fM0gOTt0LgdipgOr8sW66XKkmV5TUIqr02cUFdR
6Yay7iHaXlMR40t3IZT33tkaTXhyP6AtubZb1H8eWVJ8GGkXvR+jZLu1cJSbTKzLKYGU/QJTIB4v
e5oTVTKE611OaYK6FZvjZRGmn9Px0qT7mV/u2i5WnxZbBn075T0MWojcS36as7lfaiV7p+GB7QtE
zGIbojqZsI9UedAP2d0kVPyJMabHKp7wGaphKlhZj/i9NWQ5rAnmRXbiuYmLBi28nSRqrbG75mLR
7wS6NlaPIknCD7jxbrIiQbnZq0CPeaPFEFz1axY/X3iGQ7Tb0VS9D8R9lrnhk7GlwO0BnedhMQBn
q4VmyS0sRXkjPGCXSnYoaW6dMuLTGGvX1wryp616O7nPWntcK7go0acZAXX1i4WbZis4hbadB5tc
QzzvgHL1bkcxX2T2K5Lglh54wfRN6tG/VQHKEd1MdA2yNlg5iL1wt9mLVtP0Wgjr6lElqpnCYA3P
ZiuiJ7h+JQGthBquyvXGpuOGouoau9+8tW5lbEApR1B6gi4JlnPCtiioDb2Q1J6HmWilsOCDQcpg
EdUp42xIR3vobA6Lh4/1MKJIk+2ljbU19Wsfo6ZOZrq/n5WZx/t4iTbVoKugI7Y0ki+7qGVkuskf
gzAe5vQ+NwktqzFa++TjBOw/mGsblG6gBxh5owvvRrbkC6nRbbtUVGZnXJm6wA038w2Dr1ZOlQGL
mfpmtp7y8caXFJJOrQwaMPEwWahWSeUAaRJzkEas/fuuG9OlazZcKrB3kBJKZllZty65PnSo1eaT
YSbgv6lVOZu1DFwWn9tshQf4RMMYntBRAODScyN9GoTDw2DEiPOQBsC4zIAkCrwJC0gVX/8rD0gR
4jiqYfYNEcxl7zOZxezpu4gciIsRoidykWzjiDpxgwDzBSkAx3DxZ3Ad7sWXLqWhy4/gdXdcb2uk
SP9qxMYCVs0lBLgAnS0dthy3CGzH+sUwCArlrUZB6c7hQEKf1qZTZh2PO1w3nC3c8oZl+JSUZra8
ySZt/HyTGHy9vcLDWeNY1YBxEk6fEp2JPm9zBA365Do0ZvUL+Kheo8ZB79CtByHKAftxoJdmBB11
FwMyQ+kuCHZMT3oUUWV67HXBvRdQhy0U3r4G6mWmLW272aX91IoNJBCBdjAv5e2O0q9saTDlFO6c
pUSYKkpXkraF35P0CD+Sv4jSTM8BqB9dxQtCcVVqcO20oGD4l3AeUWWBXWVybJdcEdZYCX7GVXu8
whTdc+O/MbLXpO/sA0RcewV9ur9dQprUY5ybuyHynrci4YDILIFBLYLpaSBuK04rSriiSmbh08rN
2zgfpQ5BV7pSbDPQejt+EXtIR2ytKadVjvuoaXSy+0fVB5tDgRBMLSpQdIh0EFl2lHmqeUN56T4F
O3VeVFG3rdFjOfZj1uBpxPNniUHFslKDRWsw74FFNyKHiLUoJ6S6Miwb7ZcucBfFBRV1PNf7yLoD
8mOWBgduohLQULySuaZhuixt6kN1FamleJ3slEKwLGjcLTUExT5Dh1p4deZlHpomDjOj3wPJAM5R
SQH6rwZrsloUSFEM3gni1rlD582rdEUdfudgBLpqS8aiLcZ8ug46tSCKZDKg0WD+BAdSEnujmnLO
CKyyQLMjqGOcmMJ1QZWA+btaxbQOtYFg9mkHSIG1QckbE4QLvucuDnkk3IPHyW5SQkvSDmA+vgaA
qiAeDqK7DbANqw9oLjf2phi4vFRdSdxfoYLJr2VaZP0nbJGJPyY2HR6XLaF3wDe7L52McOTLbXfA
6KiBMrLvvatEH27PpcvMwyYnhq+AeB1c64Iv2E0LjrDZmJHHCPJh0ZBh2U4RRIu+2cDsvNuSFPnG
bFTp1ZwOA7BJmT2ttFsOOp7D97lUUUUK8JFMTjsSVmr3FdIL/oysZ9w3sVEWkYxpRsCJ9JbYU5dL
UHNq3oGpdnRz+LhkuiAb6IZrMRc+PsC5gv8bJgg8Np1NLLbeAHm1vtKiAPaYdGpFUTB7dZcYYW67
OLJlE2adKA4ANMTbzRUaNLSe8S1BKRQfUsnKruIowO/X4FLxKoxunivU1L6v8pESYDLj2rMGN/QB
RBjkkoedQwGo9lyIvB0twL8mCXnf7qvDa7oMmB9wFi4am4jfNsXmNqbK1ZvO/GuB3cLeOD1L0Uyr
LR9VJrXB22XZioaghwrE4+UumWh8U7JpLIAvUc8rGVFyEwQs/uSnfrx2gVAPYAiHGmxa/BFMu5nh
fxTE132mBlkXW9r7xmx+UNUkS01bw/pywv4rk+lmiGKfHXS+ZS8BZcKdoVyNCcSAhftqEjx67QlI
jIoDEDkvIF/Cttgyj6aAxEilrTTMeMujgb0dMye3GvdNVHWozxuWyLW8HLf8fks2yNBJvNBzOfHk
/Qr6o6usmV4TxZf3Ui9LheeAQHsE6QmAq7NY8pN87YIt7FBbuaAOUHncSQM4X0F3+TB3JjjJARd1
I/uxuNdGL9c6W5HVk8V4C12guApoWL5AMe4LLIMu/yTiPWldGqpHK318GjHWJq4HW26Xai3kQHpm
SDyFUuWVSticNzsJUDjxnrjjnMV2ekSKt28kxK1GYqmn9ZpkpkX5Et3MfmFgFrfoPaPevSdUR5VQ
JkTwKRtbXk70N+DOYZNmqX4uUe4fo5RGnxaQ8e9DvCSrAocDh8jWe2QmyzsH+OAorMZVV5qPAKf1
gzChp1WplzDCdbA/kC4YUdFEKT/ifiBntBkqacoC0AxefbutsXw3QOxoSodGZUXWea8ci5aXoJzS
p4ElKa9TqPonIeYIFh0I0DFJPnsD9V+2o4AeJD/hBjVy28CbRwr1PTrahYtHmaolze71wFbs8goz
mcFMyRW5bMALzg98hdcAI3S5Tz0QH3/cYmTt4iZZQqfZKTSMD/sJgLnXz7R3W/Y5m9NlvBqWkuu0
pqkMddCUNks3ic1rBGUDrw3cxkCiPg8bAIHRjrKxDH1fyzGXoTsZ76BiVnnsskOazlv5IZ9njU1l
FePkJuxjGQuzBnUe+Ikm8HnXAbRJwX4Bk0YZD9rLI6ONiwZ4fZoBUWVi+RqugS9UA6MVAGGrxOZH
Bie170ZQTKKjF7gda3CFDdIN3R6ub2xSarQwfeJyKV+WcqN2aGAQl+j7ELjt3XAehkWZpVEbRoBE
bSgSo9ZPZtxt5Cv8FtH7eltSlGTVLhh2hiuKnPVAaijWl2+S5l1IpiPrnC3Wdybo9jirelqO+Dsw
+kXubgKt0DDfDF7RKa9dSMrCHv7envvZXYZriIkLORJmmIcKkw6ezM/eXJ95RDi7vvgyLuKSAeXf
wQ8+kgknPFhgS/2DUfmzJ395R8S4YVZeEnawfC8jBn7EEiDOlTpEXuIr//6O9jtVk2SzhDWvCpYa
QHA2dAEiH/0AU/D7V/59fsLDd+fx+xyAz4tAsqZj+pc//m88MO4yllL9r8ur/vipb8MS/v2ntwvH
P3/7I3gyglzU8pv+9ad++r14998/3WWGwk9/+NM4h/8wsOHxqzKT/g9/+dM0h5+mjPw4zQEpHnj5
f6AAfxrn0PRKy/6z/qsna17mJXx//e9jHTBFH2X9JWcGcuL3IQ3fxzoAUP+fKCowwD28OOzRt4kP
v891+DY9FGP3we7C80cgGjAD/NvLaAf8FfKGSKqTErMiQGvn/81oh1/GBmQpxsEBYkiiLAb6g/DO
LxQD8l5jxLwLr0D81Lz7beqCe+fpaShBqG/zFe/DaxXSllDzPhrBe6AT/eHg/b7KfoxhXwZu/sQZ
XD4Crq0owSB1PFUl+uXSWrIc+ZSyC68W6cMzTd97Im6VHduZH7oRccVQrwY9VjdX6QQNSXTDsYD4
0W7xK5qOemfNLILuLkS71C/lQRNocEV0XllOqzSzVSSGJrAdNEzxOXUcP8QqM2MMwvhhUHF7+V+f
phXKhmcFMh0hyUoFrc/gAC76UlSN+e0a2tlXe4hwNiRRlSRNOJraJ/OLL8cK6ZYEQa4Sem9XQV25
6cxWVGDo3qQI7MEtLCvI/ndZNpRVohPVqvE2Dcybic2mdWjF44DoNzl5jZKgVV3xcVf4BHxAFZkD
W88hH64w2RlrzTI11vFamvER8bi3A0rPFoMLWqvFB0Pi8AjF56FTBSqd+dPemVoPY73m23TMd3yM
TWvw9Wg8OCqDI+Q4X/lw+zzDUe5yo25ntWXVFKLozBXebD/AEbvvLprEt7P+X20u/zf7xk/b0X/a
pf4f3FzwJADAd/95c/nxwdD/HhTz/VW/bylRhImACeKG4SXpnGHm5r8mxQRRnP5Pigv6koP7NtcA
8MvvW0oaYzAQAJHLY94w9APbyr+3FMyXSfALizIsgYABBPuvtpSfAZtvYBQykLiZ4yk7yEOml1vp
DzChRvJIrMa487wlSDtvKLOrJUHOox6Lzb7Jg8xfD87OYxuGo37VS2qfx1Q5QKtkXt/9cPT+YneJ
fr6Nfse0MA3lcgMPQf3kl0/7w6dJZy9Gwow9x+scnbtxn2lligVqobMasQu7pea1sCLoK8lLvdYg
OVFnIhVSpCjNi/kL0Tq8x+9g6JqnKXoG/VZGR59n9GuEUIr7h0oj/gWG+gaWIdYHGhH4bVjGv2zJ
aQ/dE9S0PiN21XVNjvDYs01Rkh504ZcMKWUXDU1fQGDbixx9lx/D5MhR5EfQmxf9hTmloroPRNbA
51ogtXAWwoiX2Yg8xjKwh9HAtoJ6oho4ruRFsfUGQbPMtRimk9/1kll+/Pvz8OfTgAIqLHAicqwN
ZER/Pg2FD6COiEmdkUEmL0tXRnGVjjGWhpiNe9icJE+CRtP7v3/bn8u2LITHAW4Og8ugDV7+c/lY
P5x9KOldKlQ3n+dyj86I0Zgz6CAEkyh7+ft3+uUu9u2dCFKoFygVQczyl3UmZmDYK4y7M1iQ9CNy
lHI6Ul36uBoFa8MVCY86CX251HD5N/5Pi+ayKH5gx/D2WCgx7uLgd3Er/fXtQfH1qBVhBxfrmCG1
brKPI2aeT0dku1QLdWHBPo9Tf9ymdYPTPy7FV8iTiOURn966HAJjnWwDrMMB+M4zLKk4aVjp/VcR
WNGEATzNOoO/L69wM9/NPxS70Z9PFIhNbBuohJAfRtn784kKc5PNWUaDu8hQ/rFHV95VUTDqOa0S
j9Ew1xvrx09I8gDk2FckHtAx9DU0juI3Xez7UnvWFejvBvu1Byf/xWaCFXiWwB878V/sJQBhfz3K
iBpjEV2eJ4KEaFZc4rg/LKdcln2I0EtyN6SAo0nZaML24yUESg7aGgNKfw3fWO4zg4EbrIAqPh9V
LMVxSgXG9EwrfxQYeeWqYtq6d9vAl5NX6NpEtopnmPBlQ4Hx12YZhh557gS6Cx3UfN5EoKDSoKHv
uogMFeREEIqxZfwKZu30GA/dQwfz3VWTKdazputbHfMgaXIb40D2PsbekJp9r8KtHG4nlpWvNIQ1
xPIyut3RW5F6CxlaZCy6/hSUEsrL5su9ibYsaPbBfRYKoINBhgCyFNfFgarVnDBoJH67MgwHO9Ii
iPpqZyP9RJD6hT8yr8EHwwHpCHg7J4RkxClayfSltyLHdZ/w8akn1BWVRWN6LalEQYXjAKkgJvcw
I12Lhng9RJGLbDuBpwYNsCEhWduY0ZarRMJyIfeMgkJpkPXQV7jVxFuNpFcO4aCY3jsesptYEvGU
Qe4+GjIEMVIEfP9Y5otsVeiG/WDHsjsE6Ng/wrfbfgNfKbIaNGRoqrmLbXdwelhwcWxb6ztryoNc
KGsmnfCrGT+KEi2VCw408JxqUMMQQHRF9VcsmdurVE+0TnQwc6jBY9tdGOo3WxKl6DIkULwBK0kf
Er0RdXRJ4W5zqJMTBfm9as4rWL1w0r8wyuJ4f1Vb4C7KJJHYypfPseeDTiSMEmNEeNajBrAI5Xvd
j2AzNQXk1oNzGuJpeQoxWus0+CQxtcE5oHB7QwJ1lgGcaGZKcT/U07itLYZRdWEtJx3Re7aGObCl
0Rcba7ybiL7NlU6woja6RGqrDe6FhzxgA723uHTyrl5LAVExSlCSHuapl6RCRw89t3WwPuuAkohA
bKAIroBkpYi1MYKhIIdtKibeKoqq4JDNHd/rcs+wY87xCGSIMxlMYKF8px4gtSMQsnR9+VtgbNGH
TbjEGmRfacpzBryAXs9JoYtsqGen1t1fqRC7G5zwjhXI9Ci7rwci1dwf/JRzfxUqxUWdxVAX68Jl
fjpKJHqDGqc1fhcIvkcN+reRN/g3DO7hvQZArfQ8vxs4J/yUSKKndkRa5HE3OgG5A50+umEbU8UM
5z5m+kilFfMTbsbJNWSTeDwYgU/QLnrq9raM3A61Y/Biu+Ml4Lw2wKUigX1G5lpiJODUdDTpTFMA
/xZVXyjUJzMGvu1foWCRHOashnGN2QZsPUVhn15BpxjzGmTkmjT90tNmN3SE5LZJQRB+3oa0TpBY
2aFyDntwE9IpPUSCAk8qGClEG2GuyXJifbR17UhShplT+LkqItBGsXw6kPxu6+EowQwNPkiIgR6t
F66j+BztGIfSV6VNg+Stn7bYnHNB/NLMEM3uMjPjloTuZMQLCBy65IAkejS/wmad2fWKdK47oAPZ
+xsMw9Bv0yHOPmaOwm0pIyxepPIA0bYq33t8eGCjgI0TTAGpoTu1PZLYr9O2obIYusE+QRPaPgnJ
EtiuW0fbEgOYAICUFL8nmxZk8WdpozOM7SR9o3QWvY007MtqyxH3rzUSzK5F7nPoryT4AHA6BQyR
+z4oyMscrpfFOQyrOhaTYurB+VSXdbhuODdsm/HBFgBd0Q3uYOQFyh1WN8cuKRs8tNItJ60IjR8G
dHHjY1zOJD25dNjMnXb6UnyiI3/IxiB37bJxvPWy7Ducx5jrHdRZcfnyl4++YX/C54JqfU6zGd/C
rIjtVWxcxr0mo8WlI6Zu7N/MCKqDyDCoCjr8HfbUWM/sfo1SDyE1ESzE6cYoDHPHAwZTog/NCgYB
oaGk9XYFpIs/g5jBN8IGAgf2Uifrmb/AkyXXiIf0ZYWs94h1AbTl4zbDYIRROvjHRLtQ3XQoc4eb
RSC08FTibnFUc4gGnXTrK0a05eslT9zH10vZEXODGXwQxL0sVpATSKUcRYzDeuGC/OdxGrMHZxQ8
oxXTlMZ3W847dQUWg/+GLOtlD+nXiTXoA8qk7YG6qoPAlJt3QUj5gW+igzeVYpvzcmOPPZDqGxje
Q9ZksYwRspuyFLcjFpMXiUk/XTvFMy6TPaAJOaXzEq1fOTZkf11GWFItMDqskSGDe3uAn2tb3GS2
9SaSJs5rSiZtcadNbIjSex0+SAJGOfAo0693omX0BcysV5hgGRUWSF6MX+V4dCEtN0QhTgKnZasD
qMGYGWGtvnO+gFNp1VqVhbpKORTTq327ENSAXdR+FNO4LHdz7tLbQMMNbNk6c3vTYegBq8tMcfYW
lYj6EgKOB0Zd9MpWI1MbPKjNlivuAn59mkAP9e+jZU9KW4H0G/2z0AC18MtAF7YMIye664CK7RPr
wsAiaK7y8dQjSvLGqYDuRwlAp2/73WCR9rEekgc3Tnt25rm4UEDChvldGjHgzR7VjWo3QEvg/cu5
v+AKBcfeodTURi5xsrETaL/jjnkh+Kip64rGUzicNRVgbt7Bl4neDkxireFOR16w1rl6mMmMKVwm
FgRRW85ATznzilkKWxlV42iL5wyY0NZsCE6k4DgnTHxZKSYl4eaOFd2KPsHZROPg3W2f6HG5LaRg
yQOQtyk/YbAJzOzeOehNowzE1nAFdqBCNWb03TRRfH6J8PJBsXJkYOrD8OTXFNe9z5GNwNw9Vtx9
q0r/v5Lyl2Ot/62JxJjYiCbrjwL+Tzrt5Qlkr2A9f9R2f3/Rv8TZ6H/KDIBoUaYRMBV4RX8oKRgd
j+exxwDe0YkjBZqjIfmXkpJBSYHsApUFj22HzBH/oaTgoWlQbTHlHBIydJkEv/BfUvTv/cXfzd39
pSeCIQzvBcPtMd0og9r7a8Issvlqw7BbTgCqECYf5y67T+Qmzph6U/6DCgtB+cf+8dt7Qfi5PMOF
pIjPXTqfHzobq9DhIdk7nwp4l+fd+ug8mIS8eByB23XdSfvDqfiLXuqXTuryftBjYkw1Q06F/Glc
nQwwa1iUId6PA+KqthDj+qrBoUnXLk1OUAnypE1cGWF6Tx+//fs3/0WMuLw5pAGM6i1x9i7zC3/+
smsQKrdg2sBpl1p/4RMH/DvBLr/10e4eHd0JbmzhP33lvzjEGY4WGnQUZZiCgmXz4yHWSg9yKwt+
kjxyD+PE9BfEzLBNkl66hy70//Ub5hEWKd4Oqxczw3+dtotC1YGYkOSKBXS5KVCZN55pAns2CT5g
aEj++veH9VetLcUFFCZ5CRIBxTGJy19EHq+icO/oJVizuHWsTE5RMO07tHPwDCkaVtAdESzxOT0h
Xxs9rjabX9BDFVvN0PfMF/K+eNQ+jk0lbWaQGBBM3UaOuPc+Lv9hFSA0/+uiLzIM+8W1n+Js4mL/
5fPOHKNyB67NFTr9Ln0b8DijN6qbQsw5WdayQUAu2q4ROvDTBRlHhYhr0D8G8OqvkNDL8+teYXAq
B5j4sUOGJa9YPmEtYVgf5q0iOXJGSoqza6T4cI/7Vm3yGAAnQNIMbYWJVYdWXvaoOX28lweRuegM
Qz+QrSnC5QaTsd1jpHP3QNEoT9UOeS/7VAKu8BiLszuLmnZFYYUmwT3k2CXyBlndkVwNoQ3eDRMj
CDVfoKqTpANG78Hshw63VDGig9FXrFKHm27U94O70ymx6Rs3++12DhlaoTyD9mBJmqKavmwEEARw
nTqr3EOwafdAxhUxD0dX8WqGWLzuMkxOOUaNoAa0VryWPLEP6K0wE5GsO7YvB16tHSKZfQTA7x6h
TaFQ55aK14Rp9xisQfQ206Zs0D+g6Mczq+fT7Il7zcEtmDpPI4SxFM3co0klvqkYU4xzmRTeEAUN
fYlBLUIQKLfs42RwHMvd4rjJNHprCE4aigjysmGYx8ccdfVj3ynSIhWRJQe/9CjdiUPlWykMkHn8
vlbZ0KHWZUmPsrwfnfoyDQtE4jTDl409xsse1YZp0AAwYJJfk4L2/IQBFivXcOVJaVqN4Ng7Bhz0
pRTYTxs9GpR43KdYJ3bO04+LKsUr60A9dSsnt8TLSw0Dr6VKUQ0NAJBEUKfIT9xIoBCwbcTiHoxB
n9jYHNMRAPsp8eoc+tD6e1lvMbKyq5BQSMA6DqjyEEfDd91Al1Rlt8irb8c/dTpDAqBMwUAWgJvK
gKl6xWDI87efASQ119yHA/aNnV0F+K5vWKFts3WEHFDeYQGzy+WRY9qUuEIOitIbwFEwjazakAld
XUkeIQZHEsOMYW0D8pnKcDhrxEygl5Qc022eRD6HAGro4qg9oKn2Ff0/7J3ZdqRW2m2fCA/aDVwe
iFYRCkmhPm8Yyo4eNpuepz8TuVzHzr9+16hzXXd22soIBQT7a9aay9L4AYYGhn4cjc4dJmhGGm1h
S+Os7We9z8ZNA9s6uiLhcIogQdkugyph1HE2wVq8M1scvw8YLYZwzNolvR9nzRxfWz7+hJajGpjF
QR5mjZfXgYadFf08kAkQfw6fc/skrSgB7jMj66j8GRZjEUJhno7whuwdYkjr4uALDYdhPET+PJ26
uJ6eBFCmMJERmilgXzRitN5s5423VjebjYTLF3RM7O80kXTXkTI6DrpocL50MGRs7q92BHXvp9Np
wCl7sL06LoNeN2sE6fVy8VQff6eiNi4CYc9NlSbiIvXKZ4mx2PPZqMaSCz5pqPEW3CL7Si7ddz9F
qbLBOxCnG25u/8aOQBhu0CVjHGZiHr1YFci6jaHZz2BitRDc+UdlYITJCt2xD81o8cg2XIubDuEp
t9ScO+33xOBfAp7L05VjjnvZjKokPQgt4pReVLpnlCnfHaPzX8o5QTHrxl7pBM4wTNdlSqKXCSHy
RdqGfJ/bVb4BJvNjoul7yRzBA7M286cM4e1rpqBmQlxxgFLraE1S17KOnvRRvft+hD539OongRBr
SbNqAwDEjneGVXrODTMj3X9dWml8KZWmLccFmYR3tBBIWWNoyHbaWSgr8xthWhbr0cERWwTJN//P
LKTaLDkyZ35yk6T5/zEMwSl0H3G65y6OhvHoWL02bCxkn+GfnUOVWd1NOAL6HbgWiPJ/tRDZs9lg
bCjW7fWnhahyNfsrPiv+f8mJpZ7h2ZkMWr0xVSDhZFTvFq9Oi8CM895GSZhr57JIez66MpLBgk38
bXa9+pDalXfnJpa+yfhW7V1Dqpy2PmrfwTJSi8jO8c4Ww50wNwYuKzg8tU0L1F9bjDqxuiivnY+0
bt4FpzbHAsYL9EWFoK8sMv/sRAAQg1ws3DTrEvDa0vtv4Kast1IfV8kmTmrjgr6BZ2kjTJ7pmc/f
M+Dp2Ysu8c/tyKUJC7CuiBP7jPfkeiDDUmnzB0lecQtOVuyfRSHxmscm644Cm8VhZmlVhoMTt+0e
36h3xnIG2RevNVNWDpMyZPU53SPT4rtEm17s3ZlznKCNdG9Fi/2xzBkP/M9HoJv0NLtgd9Zbf9SL
5J5cCbSRaLPt89j3OlMfh55UdVr7vbIwDzHyVJz85tI4H27B+dgi16E7dNKC3q+pmUkUGFapGGb6
mv3vb8uAVF3smySjkog0jePLxaF7agqlDsPMWqwbqH1LtKBbYykYO5ijKSqmj3NpT7ewz0wr1JVf
v49mI5M70xl412kp+V3HYeElK5XO7pVdRdFyWghIYiVkv7jJEYh5+gCpL55scdPneApDHBLzY6TV
zrtIDB6ss9Ky8yjVhLH+X5rGbIYEjFdAwT4WtabfyD7RfkK99bHqjQyXec9UOZ8DM3MauS28QnGS
N35nPCGW5HiK1cTAV+GKWngn6fqJItzDguzMHOu99FhJlopH1WO0XtEsw9O69OU69sPGdYEISNfQ
mYuO9c1p2eFuC8+J9BdDm1Ee8jlRWj6iQtP6x0FAoJJhOiZx4l2LHFwhR5XENoY+I25mxsF5qsUG
Jimq5XhP1ATjUINyo9BByKaYNfMwKsp0A9cIP4fAsoUJgBrENRP9JkdNe0FUPrB3TeCOY6rdTBCD
b4pskbdc/uZaezxZ8iHR3ibNT280vFHMtBOOHrj0h5iRFVY6V9sV/ejwezRiU+lon1mq4hNpoxAY
xkPs8Ui3VNzvDD1mpUNYQqCmqTnW0APB5BfGtcJHXweUISpAZJ3CDqQi6USZ/4TS5+y8oY4O/lIz
qOiaARdUzRyfp8LPSjU/tWK+8yd7PHJfUxhgALvzO6nfOeU8bAa9DEU7l4epdyBG4Gp5nNDb7zIO
0U3WJFhPwAXZOmOVyeyrB64253I1FTecfOXeLpEPsYXoQq8U29gvbnu2/oHFR3WnzzJ+lpro31Vt
Wpd6KNeNS6xTQE7NvvALUG0Dql/jSuWHqBid7E9HRM6NhdY7TREx+xlOogrtb+QdtGz54TSCC2Ij
F2Sh4GAXhqKjFyCzZtaZocYJ3AZzP6xPkIT5N+btnqchi55T35jaESdiI2/bvOAmLROeNqlQ3JHL
EHHto6lg4jvn8PXDgbJ78/dt1Np1/GmVa3sefZRrOQwWDEYQv7b9C155nxNPHqTzWfQPaEkDtRa+
f/86/6P74YVWHrvh0PbDX1n71T+1/Njsuz6rO3koKixYiCJc46lp102LPRn1Say+oJvPx+Hfv+7/
aP3XXxDNF8wcpKV0in99XVrywsrqSR6mrBAfnQaSuWwnBv8jRH21rctqvgqR8CxuhrXK/ftXXxfJ
v3y6KCvoivmC8yZ+xb/Mbcb0BHffAd4tDQgeV/PJW5+62edepYslz3xdKtqStfImsIOH++db+O/E
7t9N7Ex0K3+6Wv9iYvdVfYBs/8vE7vcf+sfEznd+YzeKIHmNWqIUXf++f8gpIWn9piOYgePFAG4d
vf1zYGcRP8jenjsLWBkTP+70f6gpiR75DwZ08Lr+ejfxvWE2ZyB5ZxMiQGf9ci8XFHe0ZslwtsrF
H5LbJVdINokosZtsrs4M2e1Zlsd0iAA095rXBFh/xifHU+LYLl30WJQopYOKt3+rjEzcmVQR5wlO
oU3TpEkItHhTAtNS2g7rc/9mt2VJDQY+ZQMho9/5nZdezMnD3eQoWAYwmk3cqzR0DuXzpYMHC1KD
gYY+eCWGfL2ilBn7q18JM8MEGed09uN4Y2vK61nZiOqNJVb00uuJhkzEq32yt7zyqszuhZp2Obas
Kykb3fhekCtzBZ2mrlNsRTvL5+0vNBpbbbS6m/VoZUsIjWMQBpv8xHbZK+VN8QRCbvpw3bI5pG0d
0ewuDDioYdt7VFHJa1Pm/QyJKJMbQPrmzk+oL1ynSa7OJLLtoAN0DTS9ms4qHs2z17TPVLqcfox6
sFLZg2WGuiWXJ5whbI2M6Ws+TYqDBsfMgZVFem7SKstXSkr7BZPAmASskqLnIs/KC57RZId3abnB
lsDjIZmteFMMcHwzOMdeADk6vTf9NjtoRXw35lm2c7Mp3ywJ++YW3chBH+vxPKHrPBOpkV4So0QW
2pXj/EhJ0+/yyc/DTuTmHQ+d9kCdX92C9xjPNsugA7Qc6yMjkekG6X/3yKitmELOTbSwpsTsqRLT
O5bS7m8Xo9F3jeFqrG2K6oGFj/UILb17RwVV/JzNVn8yhx4IUj5Vd2XraJA93V3s6N0bn5WcQ3yK
/j0+0vLNUumwMzwJe7EzYe1WOVZ8qEpbzVLT92Zs2zujk/UZfPsU+haswyDjxqHt1Hz/m2Vl6NAb
ZSCURZ9SFSGnY761RZU8VAwFcKiy+d3i4WRpqdfDzmuTJWAI/TGYg3eqOIP3tuXIi41HBhc0RQYs
TwYvbcwG0iDzYDtofnaWC6lARSy9gz6I4kdWxdm9Lv2Keype7nInkygdEBB982rLK4MobsFSNaMo
8FK5Tn+qUuHy/EoSGC9AbllQZptMK5y31Cj1V7zSSC/8XKfLaZn3uIziAmSMw4PCcPDeFPgq6cfk
dJJOGj/5du7ceY0dKE/G+2Fwq/tUb7srghxzC4aiwwQ/LHnJPVm5gVODyAOJMzkb5BOwxNqx0uho
gKscrSyLjoii1dHBsMSUhp3sQoUBiiUQKipfeIzI+7kqlkMFXwGeaEkxqkn9lhFDNe77QcrQhXS7
VZScd3A44zuV2OZGNML6UqQFYmi+29Nry+aJ+Z3Xz49C5FaMq6zQtgteQxREUXnTL1hFyKRwxygc
tMYZdvgg9bssIsUjBFSelxcNocyLa1TN6vuvIxnaTRPxJEnlslnK+nth6Ng1e1FOtxabvJlL46SU
huDPX2JYFev4j5ImLLR4wmhqUOMtWdWYOwrYpQykJ6cHs9CNV9VGVR/GuK4lOXACaAvdDsEiEw2u
FZf9ZO4QVMRgX+NxFl68nXRWwo8RG/dZPMduKbtrZyH6PNRAztLqZmFSpi1h52XlJDeIxvPxUWVT
7H2z45wwqjBxC310nsshGxt360lHy3da33fZ99mV0sj37E6U4uBiHfXfOuDf1AGGv2qC//fF3f8h
1K6u/lIF/P4jfwigdUJOkTmD/3fXasBBhvdHEYA2moUOpcFK1/RRSP+zCrBcqgB+6neJM/+F9/CH
p4IYTUhyWG0RTrK88/6josD8pcTEXkT5TmY7ikyDt/drYV02bttOuRhB3UtocfS9Y1cWVcBaqtZR
QQweGXtZ43ZLv89hufP8YUyKNypHytE+maXdLSpYTUHmtlCgx8YsdAe+dt5jKvCMii7ssyo1UHeM
ExAIm5SgEuO1Px8ybRw1rLyQYsvhiBO7bGl0FjySnbytiplx2TCkHit/nvcMa7LpptbKQT9mqZhv
ZzvCUWA1EsibeGOmOOzHenDXCA5iMnjEnrOScVyZTb0ROE5uPiUiXaowpd9f9Tyr+IWEHX/LwJQB
ZKEWlg2iYAS9YKT/0KWJeZoI0uGW5ClKfaRR47rpWbUCPu1esa+modhPAxF2G8Sm6RF1R+NefL8b
OF5nPd3D30LKKuTc7TuVD5gx1qyipLTzg4zUuMsW5TIx0ir+Yqy5EcfnEA2MRqLqvRtn4zoSczns
6y4juqJtKSU4DAFztPG8BG1eqk3mNMNbp+z5JVpqV4QqbuR0ZEw5rcZvh18U035vvhH+1RCaYRQM
lYUCI5MPWxHLxghaQ51Hkj9WCBxMP+RntBCUfc6RhZj74mdIC8xPxV/6qf5LPpWAwyoKJAYJfWCD
UtD81Axaq3yQByBKwiHrsJR86gudT60h2WToDhFxEuSC+vAAgDnZwEVBoWiuYsVxlS3Cs0TBOJur
mhGOhXRCYxU5sq3QPxbQujvKxnTZ5VGqtojy5o9ydQ/sfFUil6RJezQqlZyIJCne6lVWGemDMYZS
iztydJCAbEzl3oFAZ/OyijIRQJP7gI2Ps5zSC91mHBfNbh7iCe2I8u8mB4Fns0o9+1X0yYYK/We9
SkFJ52Ho5CR98V1HQneEAWweu1U+ig8q+sK3AU0pSR/+16gcUJoybB7yfdw15lPEpPM4qtLdgQ5B
n+pXUfuI2/gbz3RtM6wyVnLHULTyDUiPtYv0NJw/Na/xKn8tRWHf5KskdvVw7ZnJYBxy2sUwNs4q
n20/lbQtmlq4eurSePrytejKaIMUbn7pU1keok89rqbpaHPlKtMdVsHuXE/VpXGIBgm6T0WvOaRR
6KwyXyOJ6mcRN10waj6LLngFr12zQuBwLBfXfJULtwtIMig6+64G/KncyO4DyPP6g5M0SGU/Vcd1
ZZtkfdLLRqdPXkPvdPIOSYy/Iw62+IEWZj42PhFw04qnHZjZBlXUfcvQCSIZHMfQgdZzWNNHwto2
P6ZxfoV/74RVHvvTxh+oqfMNxl+uIzLAJpG9uB9R+qA8C8Df97P6b3f8u2jl35yKFrp52sf//Vj8
NfZ99Rr+44f+0LM4v6FY4e8xHaZIq9vwnwejZ/1G92sjrHc/LUMWU5k/zIb+bzYKF4ozeljcGTrn
2R8Ho8AZJFBnuGsC3X9qNkQd89d22fbWExsvgqA9R5rwq0DAG0Rd13NsHDzglNxPQ+2FEDCQW1dz
A0kOv3oVfZkrj+1e78XJs97LOGR2VZPmFvcXqxYp6ucBAafLHb9VruPdJ3MMOlNUxVNdzbh70Hsc
m6h7ApExQTDtmw/awVzhZE9V/MyAq3ox1526hIzKDsoEw8XpUJ/qdc5nz5Pz8bu8E5aR82FJwf9E
9qT/0ola+5FP7vScW3U5/fBd33czJAD2eOGxt1UlOtR4yk56lktvL4gZewIUEXcZeLvevvQkTxkb
M6m1J812ZIf4uhq2rBXjwCXbLmjLtLE3rmlNF4NUsg2gZe9LkReeeeJR5/GxkCV5MAjlPWeSw7/P
BT2Xblo1wK5xdHa0hDb5IPlXu1yqUwyFNHC8xd44ys7fFDaCrWNEnDGucMIissYX00ShWdYcA0e6
nnRfy1LeR/6ik6kUJfZRnwbtHQxRuunbaXoG+Jps8jQr7ABBXuO+yDYduhAHNvrARS2cchB+mDVE
fryKqRe7M+8gAKGn04B2P8FHsD96soQWioJRvtux7dF0GcYTc4L1U86NdcVT+8aT/6nVnc3ReIrT
jiVRIR3++s4qWP+ouiNMgyA6iEHYK2nt6WXKrecMdOxe4lMMaaphsTBWfY0as2BN8vmPBJmzV4yk
YBfR9DjjcY2U/AxxD7l7lhXJGybwvjJ0eLq/ZDacltDpWTx0yJmBVCYx+4x4ctjo1znzyU8vk9Ez
yacRHDBa+avcgCSSz9UVje3o1v3qD/GtIyIH50NOeOf3KIWZy9P+Lye/mnl9qAVMGmODLQgxnfxC
7vqhmA2Q/VOXs8i50byZNzAazRRv3Tjj0/1UThRjyQIkjgbk6c6srAz4gVvYUBFqYV5gZCGtb0kF
jI/dmtUeYP7qvuPHZ+ObrxJqG9hyyifesIYqsowJd61VA7pQoQGWA1kCLy6YxPrLe0u3KmFNxJyh
Gif+ZGlc62iLEu3ytPrLlnX7KwBVhLaG4wPGp6nfe+kg2NvwiqD0CEkdNGEdIUZyb/4+3c2QZr+M
KkeCQVInCk97JAh4r5Rhf+jgFLzfFRBCZyLbmAYrogbwBhL3zLEf4oz04NxqkvqYWqlqt5HoWR42
5up7iK2CX2teyZAktYpXu8tm7eXzXZJG08eHYgZQGuKN5s06UnCXaegHL4RmVvC+gW6BRBEj1xkk
RLM8diO66h14RS6pqa+fD5p9vb10s1+ffNHWp1nV/Ls/r+INqB7sAzXiNPZ5rXFD+HSie3cseEK5
WaMQ8OrGvCPEvvi5LOvSNBNUf1B4sGuAUtG8cl/3w4hwyygn5iEyn8LJzbtx0/nmcmgXMV4x80z3
A86Bd4s7jWVgDRGI+xRGd+DbeKU6rw9r6eDydciBHyhl6ML7soqtcFatexG6G50+F7BcTJHgdHCN
awbmiR2cQlzS2X0LGjtDsDFwF++z0St3C8EyoT7EzkOfdu23TLMMK2Dx5r+wqZkePYJKQ9dU3Nim
GhW/DB/AWei2xm9XQnYPltqpYKnD3YE05wOvh5gdD8sBCrN7GHHXfSOIBZ2/ATQK2i3xjTwc2tw+
xnFmH61Pccy8CgqU6/IEAXI78ILleDcajr1lPmiS1dZZY2A2EVOgUkHotght2teFlyQhk5L4oTJk
dS2GWkB2ypH2BG6emKT6Le4On8T8w3ZL6yZiOXzIBs/4jv2IIPa4n9wdkpHs3CiR/rCaaXzqHWc+
yhLp8JxRrNep9ox2XL0kpk0iT5OD5it8D3EEOSUBAQUkxgGX4s+maqd75bytYn35sU5i+QaMRXvy
HBiMlPsuGKpyiaz3Oc/aE4BOKmv8lcaxX1R+S84XqvURfhPTog69eRot7hn440UJVf7AUZwQ2UM3
Rqji3Mw3FRirSzFqV6PUzGnLVBsQZe4NrXEucp7mD4ttJcdB9/cdq9LdAmFo0za5vB17ggxzrY/u
CWzkaTK7JN5qsr9CUn6z4pFKn8y4hTFYn1pnyYLefI7Ysr/ApVOPoMDuE2dorkSiIfNkKnfF1+I+
Vi6sF3RanXfXwEI+kBUt14A8/Y3CcoKv6j0trERfe2Y6+3oikHgPXxdiHNetkIdBrYhLazxM0i9Z
FJv3LTzwQJSEo28LYs1pwJYinKOm04EdQ8aakKJuC7BawLaYawYJsBm5LYjQ0ckwTMYvBPSUoFLt
3sl2etn35WFuiqIPNcOG6mU1dehNevdkMgd+T01fbzkKLf2uz6jKMQbJ4yBQ1YSjlX1h8StPY9H3
FwaqX0YgTrcSBFQXGOMkRehSgJ/xsDDCt33zcfY1+zRPmfEAQbz7ORCU82X2ESB+TJ1eDA+sHqP4
1KklP8JOrULZqDeTzJ+HhDzMTQ5xKKAUnM5DB4e3YIY4uAIIZGtpd0p1YtuaFkCj2S1/FN04nRtE
M1sSlcwHWHfDu5eKaBOjk7/3pe+gSRlBauZVUjYBQxZ5cbUov9Wjxqw2Ce6/BzsHte3aPdvessAr
YYvpRrZl9SXtYdk4tXyOMKPd5Lp6IbR9ILqH+7TN9HfDjI9kJLZnDazf2zjGVsl3blahEbUGULgk
ObWxHd9ZSKxue1cdkOx3Qe6a0MR1XKEY6iTWhjHpbH5DzwjNxLawRkkTRDZUvYtANbPX0+RcIg86
mIXxGmU2LCRcXgHMPjusxi7fIAMoNoYcuA9MiahlEkRZWn60bGKbUU0lOMJ3Pl7mKTBNaT14sS3u
CZDrHmsMlBz0FUtzNEJdmC/TTkMXd4sGnRa8j5+F3oBGUlq6QakjQ2BcDguasnxMs3qAaEn5sTPJ
VNxAKMqAjMJuwUkmHLCMbZLclxMRxTkm4SddqeE0t5b+qil+cCAg8JYn0HBIpxb8F7DlB6vT4RVW
EAE3nQk7ngVUc02cshjCGYgD7Aa0YliRauOmt7P+IV1JQioSR6/LvHOdx/Oz3hYR1OOyf0n65C3D
ZQU53fAoKKYhfh7kynFrp44Tt7VuhCynw6TH2Lb9xNuJHjVJ0KlshJpb6ux6PBdULCKKxOGbUEIX
l/T6AEd7TkeUqMiB3LLYI6DxXiSCtWCQk3qMstrdseOPsi3H4XjwsjbdNOvQ2ouiQJ+UcU2iVfKi
ssTeLHPcnmp7toFMJ/MKs7br3Wiak7XjZ6Zbt5xAhro8b75nTS9+ekBKt2kunOWQ4JH7Jl23OfgK
N2KxllYM21RQDHMTkDdZ1iHSS8FsvSGbC6ddiKGwvx0JedlEc9GF+KAG4nBd88SiaLgsiDetZ863
/LaDo5UMYelP5X2Gxy9sc6e+9nCmxbXwNWsJHYLBgqHLKAuq0f6aG6ZO1DPEJr5AOrVgLoz8LuaQ
jWGKnqu8bbdzn/tTmJFL/NBSBtyaBTrpoJqt+M0th6reLBaAM1BJ73Fv1NcFVx9ShTjZNazPzk7r
OJemShpAqE2jbfra6W+suuhOk9HMe9w2073hdO1TMpY3xIOcpLdMm8Y3WSG0dfsNW4TO6KFRN8bg
RHsVey8UauPObTHluMp+yIYZO48z5DmE9qmMixvWOqOxS2Hhz8Fow5DHSlzVGdoMsVwJK5Rfp5yk
a24fhjS4/kmKtCoCIirEV+cctnf5bR6m9l7z5+WOiFCVbmFDOf1Xr5NPEoxl7gYq7XEco7vh4YYX
R6CdstxrbRSvEpZscqqKxo3OVqV/MF6TtxNrC9Ys3AvHfEwjrnM252ims8S9smF19Ne05J/UGKi8
iu5r2eL8YceABiJEvfWKeLAObUt5sXsfm7K55/RjJMUJOh7+1Mn/CzvEr96AVZ/vAU5D+2UzMv41
+iX2x342Y+paVykbvSmdKABu82mZ3fa7r4x0//ev5zDs/osMwteB/ngOvABXR7LsrIvtP4k/WCoD
sNDb+kBWhw9QlNK95cH8kWvAIhAF9d+SAibVJR683joqJQCihSgtk/I2czLEGhpf7K1oKlvdfXoR
S00sBBqYBlq+1WQw5DUFoA1ug7KNBPbveqxbPg09w+1HE82o2jZTrg4p3uV3CL3OR+0MY/fI2s5p
d0tnGGO7gn8t+8tCP4H2ypto2GLYvNT6Mb0IdlzjiUgi4hKLuf3OLVP9RPRdPVp+TEXffQqVhanL
d5J8pukc0xtp67NTp8EytOhh0dq+3ZEqotr9p85lXiN/7uwa+vNeka4D7M3w6vfPXrgUjfFvUtd+
Ffr4EKWFvep9SJljOPOLDSWnQo7EamV05rVfdhCzIus1Ctq1v7/avypuPl8IoQ1lgO1Z5q93F2ID
W2uQsR2KpOASSw8HdVc1XJ9P4SPhufTWaJlpQhZO2ff/9NU93fKwhCAy8i10G3+91TAxGC4kUDIO
M2k+iRHvEgbrmfpxlV9OGq8qOpcmQBtL2ra/f3EDS9gvNzrEG1NH82OsGJBff/cxwxNeR6o+tMRw
YHsc494mRJOpcZUx7yc1hGA7ypi5Rs79qf1RVU/jV8VucYhRQj19vqH/Lv3+zXjTsD/Hgf/7ePP4
/SOp/6z8+cdP/LH0MwyWfkAEeD5aOig+LvQ/l37ub2iC6e3M1Vj1J+EPe0L4NToiuk8P35+YR7bx
m+8T4cZ4jFYI2ZD1n+z8YCX99TZbhUcEiglAb6xpcHn9Au3JjagB+x+Ji5PYGqmx1dScwLbO5hZY
0Oysq3dCCazqBjqhKB6XFHHfVwQrP5J6cR5tosjZzNTWE3CX6TV3tfTkWO4EI9aEpclpKdA0+Evr
16yI6CSuWmFiZU7icWye9aqJtICSpbDKU+6nLYoEpjkXhKmUcCidvV0Ki/VYRrMVulnf4O4w4g0n
sL3BCkj4T2qYhEP5/QOqnVU3qo/RubAkGLYetsIshubG5Jj8jk3/i1123ncbMCpe+9rd63yrvqgy
10PbKQXCyfbDgmC8Sg2SGQuAyfpomZPpoJP+AhLS0y5VpkXTxoXRmJAEqaJQ+WY8QG6VvVEOO6eF
Wh2Y6ZhRBiTmK7yjs91bcmOkFNVtmujXuQWe2vUN28xOfy3IbX+eiLu6m6pptYv7r9NEHMKgE3Zm
DeWDnWnNAVyieVFlqY49dM+QIJb0XA5wfUm3SG/JjPrwuwZui6zklmlQfkKI5O8RNg9f29yNjuRw
U51XRvEDuZFCOeFhoWIJDcC15fHim+mPvjfV1gf1/kYZDTKaIRVlL0AMtLuF9wVbW7513GyFnNav
ZVq+EqKY3rLYBcuSjMN7BAx3a1kVHOc8Bbcj3RLPFrEyzD/LwTECK/XLR3dBs80iLpHH9Y58boZW
7DwDkAIjt4K4PrNvGOq5bse7JzKo0oaBsJrBEvOGfTSLUZEb8dXOjfyeAdtyF42JHiaL3ZwTywRu
keqTw6swV/Y5tfZ2VpALBkwmfRxFW5ydUs5nbC3Wremb2U4k0XgPp0XtKtbe36D8suo2dHS+fa7J
nz7+oD6IR9vYE0g/ntUSpQcKs/bcRd5SM10c4++JWWghBa5zSIwOHN7cS/dkSD+pgeC4OqCDWQ+E
8hdqswoHHUA7Is9jr+1frGnuR1LUICTnBAjP+MxcCMvE05FTYTphrpXMXWoUwif8AVMGLtnuodE3
tdr5tMNwMMaz2wh5Q4fePscK/BETITP5yZyv3pI/5x9ceoizcrTvYiHe0oKvj20vikWALA+YEmR/
zAXSkgzKcJ+kw5wHg3JPMqrSe8aPya5AePUVHRztX2qIb0RULDcLeU5JKIZE7EelOYEyuvENwJJ1
r+WRu9FdjxBqCGUxq7hxPtWjZiOd9qL6xoPRIjcwDxK6BHO5dx3M/ssKARcCmw97QfPYmrlCuQ6E
3CvG/sVJnJoWsCI8K4tWHbYfpydNWswFMUGWoefzK8FU8sglhwoVlu5ItayGGePBkDHBjuZtOnrL
Mzz9iUO0MXaJg7Ej8WcuSWdHtwkxNPdCNBvCp9VTCrziSmbYQVXWcjf2OmERE8ExPV9rkh3M6ZhG
Je3eKOr7rDRJBRuNlt2n9OZHsiXkLboF88k0wSakutFstHXK0Y9qPHpzmkTHCi3H45Q1ZujXpNlM
6KFKV2ODXY8P9PHqPGc0IDw89UsLtz9k4IgqokxZzOqNv4mtUT8ujUHIl4Ofym6qIygp80gIgQhS
oy3DqZJmvl5koPSs1aNUPmmuBEg8m1b3uPjJ/KPUkV4tmjsfQADbDy6J3Ez1DVI/WE0k4KmdfO/2
6I1SBnTsaZaOJVY/PVcU1rtGVnEoWIjd6lOlBazFxqNPJP0myn3vHXJwcsDnV4TaVPhbZXezhmHH
Ee8cgssBD7r2w8gaLZjGhEmusPufKBNrzGdpfW0bYYQScntHiutHvJSQfw2GHiYUiT0DP02FxEol
7+YSd2dVFte2rns28YJZuFLyZBZxd79UDq315C33upH6dy3A/Sbo+mjZ2rFQ+9KuoW/hz96wzB42
PTTaH/Cnhu3oTt/I0xnCnGdmEUT5yLxVONo50ewGRZ0zvsrJT0PbkMtV4GwBoF+L9x7i9860hNyA
Di6OBobLW4x9Gg+seAxGJ7W/5AWTEISv6cWIqgq4fG18YH6zN1O3MHPikW7ioj04A5MKUgwJgUlT
Y9pIfUEy6RdXAg2PVA8kGSu6sG2uM5EMKrzMGzcdHkZKv1dtchDm9PA/Z+SLZLK3cxVoTTy+6LFo
bnyrcW9iauVPzLd/4LmphW2nn1tsDddl6e8x3EFgLvTi1POBsenv+6eMkKGbiIwzvhL483yjOosl
To7YLq/5zPQSa0wNFtSK2HRWsceMR/S72AMq1Fo9MaRedGahmO/JO+jxw4EQrRYdEL1k88IXKtn1
ZQ2PGTE/4+WCbDAvKs+xo3h8j9H4kaS63GtgN07L0LrfDLcovjLa1y5Oqx5aq3QeF89+1me7veR+
hKRltNwjxqZl7/Vu/3/ZO5PluJUs2/7LGxfSHD3wzN4kAtGSwVYiJU7cSEpEDzj65uvfAvNmmhS6
JZZqnJPMO5CECITD4eecvdfeVLSdPsMO6Y62kz8Tr9YeosQNaTPEJS3fiSD7OXOdFUSMhqxvCSA8
Di1sX0V5M1c20TG8uXo4V7c6rbqv2lAMlz5v5Whl6rJ/xH2s7bO5ty9zFSdHYgq2sCKrtTBgLjrW
w6gN1oo2ebaJaRTgKOyzT7i21a5rvepaea2+HhtlbkUlv3tpyBYYRtHOa3y8r1GT7Zsymy8jyxoQ
bqbhl95vYppatPDUnFUBw/T5zUaTHOUFaVNp4t6jhIEPr6ctgyE5rZzEPNEPLzYq0p9kY2mrvLSi
6wQ9LM306TQ64+UkdetzVqXFscKgtEFu2e9gKPrbeEzlUw2qewesrn4atcJZQbjxNyXa1wMROB3q
xuZp0NlXfJHr23BYOCdhvsm66FnryEKpJ8J1XC+Zj74/0S8NMxD6F4z38GXj5iLfLSvDdeQJPKjC
zT4n+GPuOVSlF0Xl8apn4otqaEi95LpkbLrz3VBdZaG1zR1T7eho1ydm1Eh/R1vbEQOTb0VkhJdu
UrDtGEm3D2USw5wcEuemshFC4QLUt8hIcbUl5LUO1vBEZUWzx61ttRsA318r5heLHF0/lnDat7Y3
jM+dJ71sBY+LQwqhlzaWspDIAWdi5G2X8/haYKJ7cqZ+TS+xec5DXwZ8kLe8y6ttQswahD9iiKHl
CY8srVTbh0xB6KVXaZ4w8k+LkxqJqTFTy9kMfV5FZAqE32RbG4GFyJtXGg6ele2L8S5Nk2vOves2
FhntQ2feCql4gxKBhlI0JUXX4rQZIRjc40kWbzAzbDy8dK26digD8mTCjR7nNYOVDohclt4yHCJE
oKHKvZCSgKmqMJKD4Kd+ApMW7o1Ryo1bdHQlQpyvx5q+wzqMtCaomBIwTXel+6WKsPJt9c6Fbj6L
W1fxQsKuFCZX+tDqryNpttfzCPpX9Ea2NmVqbGWBK1C/90bZJTKQPVmXr3GX9w6DoyLz80/uSMoN
+U9ofMh1w5ZdfhqmnrsGJXTUtAmlFCflVVI7+gy5ONMJGCsomZnKkTIALSIsArxSSbvqw2n8rhwV
fRtQmDC9auwv/J3yCa6n3E5Grw5ykiOyxd4bA9F48bEDKnSqFH+6bByiqXjyTPr9qH1BIae+XwVd
SMc+dm3FjFCNxbdaCv1UxqN3cJj08gQjU7mirfxpjqjRq9p2vlnkREm6FLO6kLY/bOzZr+/qvDIZ
n+b1UctVfiuGKAocE6HJqoyGbm9lLeDjqJkCTn1GUFocYYyhyVdhGKd7AvLInyFU+EIUjXWsBf2I
2AZ8Rfd4DGxnyglJ0LieSFX5eYx767EhoGhcNQi/yCDRF5+EINSO8KXkbjA9m9CtdvqKv+g6TDxu
q6A3fT8Ofhj0WLTluu1mcgXJXlonbUO2Aq1L2LdE9XXI1pWHM2BJ4OSk1R2SRueM3NAtPY55knwK
vQxiLkdPaqamv5qKObzP7bnB1sfNJsUl2UGSpvqyjTy60mRPoEOJqHLjMJQ5oDCv7qXMRQsWjj/a
zb59SAGh3LUhDeqw0quHOqr1L7ryqi9FGT7I3BWXlqEGxv2F0PamoRTCSp/Qt64XF66fq/se3iwh
xWT/uqdujKxb2s7P7lxnYLjnEey2FgnGA4PgtR/PIY5JwdzhOs2m7DERKvlMuojceYjgQ9Q6urGj
FGo/p3WHl19jpKUMK7xo8lAFfKJimzBzIIa3Jt6hdlp7wjJac9ap4opGfWQPLwRXCk78ms3UoByn
m8pdUEyFn8V3dehzEqtmQrf6pDM2jafpG8Od/cOQWvEhmufk0o76+JDj+LnKbCoHd2QsTrrzS+aV
8+cotJbUBd3hy5kTm4aw0+kRZwgWPb0fBIJ2l+71VM5B1im5a5cYDbCcXmDOrKsaScwKmU54lO/8
Bk6+6zj26cImUid2S2eGyW3kIKvb9SWylAyKJjEO7GDhxiegD3FjExM48aVsmcRf60yGzU0GW8o8
VTpvARRVkKfWXURfcUAs6MzfNMI+hhvd15K9E+H/jYtemx5bxC7jp3nQEt6vWkvB2950ojFdeOid
C5sHQW49DhfcEhJFt2UITX1tNnrZpav/ygEJRBY5R1eQQ3dSc6tPGdLFhw9ad2dtS+EtJGtASy6n
Mro7vzQOma4nmakPV6HW2IHmG9FKJ2/SHXMApZBSwycjN3d9YhzN1N5qVr21I33juTDiu3lD3MmG
r7rzmbMSY/NRA/2s3/P+2Wge6xamJBSxZ8avXO8r3LnGcKVUfeUqzopyH/cfNIjPmvTvN4BpwALm
BtRPs/jnzqmdtCNFbz9cxYYApkYJTLJ14Zbb/7QkizZupw9akgYGQhSK/31L8kSI8/Nr1DXf27b5
sTX519/8qzXp+P/wcSkiW8BJ7KKfZDH81Zp0zX+AaafFaCzAK5wKdC3/hREz/oEP1iTdwyWBYZFr
/lt2SXMStyJ5cC6yf/89GeIPXIpnq4h/mv46ukub2tDj052NenxzcjRIMmrvxdkbbEV/pwFFYC7G
DvHD3fmbKdbfXQnlE/1Zcj9BQZ5dCa5TYc2jzpWMGTaPUE+qKEdgsVG3/vMrcQ1AwpYLt8lbPskP
46uwBTVI1qraI8oiQb4T1w2e8ZVTzR9sQn/zlTzTM/CNcDnBtX6+UO9mul/Ws9pzbnuDPvmGAfAt
4f//+PtwGXvh0PGL//IbtU5EgriNJ1pqwB58j6RGVOjZOh3j/8WtWwjlwLpoe2MAP9tUQsWQq4z4
Rr3MSbUUbOiyNLzLukg++FLLv/Sz1Vr3HIMmIL8Tc81zta/b557W+iCCooGIZ6eb7hDdL2yGB9V/
6Jo/e1ksqxx1Pp5y1zPYkM/3So1IJ57NUu19TI2B2+AqT7xKcg6In4VHgy62agLNJ9n++VLEaYEQ
e2mGMgA4W/ROXXYGijvs+lVc3nc1R1Hb19IHDeLWB8/Xsth+uaGEvrAruELwVP+8GOcu6aaYRKq9
1iEgzDtF2KEh5P2fr0UsFf++yjJR++HZIt7K6rUOkRXeSxt69vjQ50NxLOr/3a374Upnt25I8whd
DFeKsg6i2Zg8zyWj9//B4yV+fY6XCB7856iyF+zg2aovZW57BCnle9UbFP+i15Z86Ha8mS0keL4U
ZaAzZ99Wvm3vBTyAgKOHvzErqzj2lU0CPcOOceONJKrUZTG8ulGMyhF75AFvuL7t3PRt8iAXIhHu
T8qlSKnVvBBhfOJuS8Ufgeycb0Q6GOuON8beHav8FuSXwbjHKA94seQTvp4pAHxu7yUV5aqcCn+H
ZMpDdzIC124m8ksRZ3Gc7KvQOrQtCXtdmhWb1nCL+1ZLrCPl8/BKFKG/AxzHZ3d0rpJY5cXgNZio
IpcicTNZmXhJUtpXMbgdDLfYcXPYpkFKjMyWnrNCjTKXQWtbtrPuTSmpsTvKGBrtrb9zZK22lZCw
byuAbUSEa+scwO5mztm48sRFFN4WBsZzNpcojIsNPAfEn+6ob1Hdle26RwpxtHIk0rCe0GiTq0Oj
iFOa5+fw0zNhPNLBty/GUE+eQq/MHpwhxf3VMO2vnNx4lHx3bKgDLCn6YChyiRSl3xi5DLDWpokW
+i/dMsfC7KEZPPvC05r8VtPi9klyay6ipFLk1CZvQuc37RLHeMy9+G1sBnnfOvCvh2VrxCOGrjcz
UP7WmUDCCPsQHBB2ufGOFHDrwI7ermWfx7s+JE6PYwBzmAz+yTEOoWSt0IzFV6EJpz5xwuLN0Xxy
KMqEm9hldhGAMsFW/r7sM+RvR/JFkSs73LKUQNdHCcZtPVvRRACQCj95s4HsOGQe8UQgM69YciYC
aUcLEAe13bym4eJku5gZiSJJAQlXwHimJ6RPIdGnxY2cuihTlN+OKOpLDdbOo6cV9icwPPmb4Ubl
ke+IJLVl58S/wdQMw9VDaaDeZyzF+rFrYRNCB5gqhTMX9eW2G2HX1UC0YXMZ/AStHJHDjYailoG+
ojFpc/yHpsKrpiwymta9xSuOAFlv15oKB5+NFyB6aImX73ekniXP/mBoWyi+/Qn6PLVs7GMKfCfz
DZyGv+A0SHe26lqaN1ptxFui9+x5GcjRoq6bkK6XM6b6y+wDOzZmni2LIEk9IOCk+Uw8q/qKiti+
eKc/5WPJh607DYGbWHIjrQV9BZHUOtpRmD5VocHIVobFBrk+AQ518mbgMLiUGPWPfBB9q4f5FGhT
g98xIp+bhBkc60Qh+wSA8wt1Jq++zmRXi7waUyOGNxjOdZcGkRqj7wWay32ROj0d58iZLwmj/6Ka
qd+ZeUmDye9YCDNw5COhlm+NxHpfYfVHiJPt/Dr83na1i41xvMdFvW/L/qWLppgcaIcqDpvDBa9C
9zbqeCj1go8FrKE/9W3tb8KU59zCarYylJs+enTjL8gD2Oazm61DkOjtGjdnk4KrIIgCFyKLml1x
vIky2JMF6bDXJofKbaXx1KddRmulV3JlNsm0mcFR7vOh7Xf68t5VFt8bjPoz2TL0NuguPWdj492a
6FWvyhCHR2JJ8zh2rKiUDfWpg3qzFhnM+L7g62PE4zHKvcq/botueGV+QfR3SAd7HVmpd6s7VPOW
yJ5tm42yrtk/nEhzb8l4JUq8rqcA4TTCGkBs3q0s0/pSHzp2sveTVufX8IWQ++JSJ7ghNwgqdAYu
TWAK2qTGa8kY0YfXyC4OmEwY6TL4ZgXjzK3j7NpUbbmN6PnwI+TqusGCSboY8M8MsQk7eQVVCMA3
QDaXuxMTqRoQYK4Ts8OuS6LJ1zZliiwGdqt+WSO2AICbyja+Suwx3IItpAFBjU5GODX6VRLa28ZK
5nVf1sbaNvEWVG1J/ujslJ/jkTs0u+DxmIDWeDCWfAZ+4WSVISfdh7wNPvVkOK49dIdHOXc5wkL2
Hg0EakAKzKZI+5x77pfd1sQES4hoH1+ZgHBffL1rL3rN5jxadtceA7o95sJ+l+DV2eUEc54IzLs2
Y7P/oiUJvscxak8ymR9jYQ6PXjp5gQdlc2fNOshyP543tIjya6XV8iZLv+J+yoPYZOIaLjOQNv7M
8/xQ94LOqVdqmygkAx7AhSJfszEyXovguRzrRbMJYzNcXnqpz9tQi6PsoUK8c6wLdhyRe/onhocK
ygA/KRC85WzhWI3azvwGW2ovHIzO6K55bzMQJmyy20OAtepdEfkrQ48Uts3GT4oVUkc2MyByDPtz
I2FmoxMofiiGSvjMLOF6F2mNdRiJKMbtTJlxDqcA6fnKlkMF2SA3GKEwBhoqMz+Wbgsqs/S66mhm
TRcgepiMjOCXEbvxxTQYYz7z8gFqd3KYw4JwNYZ4IG8uibSdFfdQmYYEDgdNzJye79Hq0fquFueL
azKT82tmmHRF3bdmSiK4/JiDvivbWUivoXsYPTrL62HyccuYlS02VTOyr08eWux43QJEvikc5Co1
una/WzcQcjetimrUt2an9+TR6s2Tl5LcxUQ3ux8SE5AjgjksLxyurZjovak/FlmSBrESL8Ry7FWy
zMsn9N6WrUVoQHi+2Dj6W/LwCPwxCy0JSFweV5plTDueU8NclUkDQyPz2r1RdS2h9vIZZXG6cQcD
b7QovQCjsf4lb43xquMdra/GEAgcblj8R35mzlc8ruFrmLl6Rw59o60yd/Q5WmraIR4ZXW9dYPGw
MRy2byvkdEK1RGtyQaUSm8oX3qcd7qq1N9n9B72jX0IXAROIdwaWb5s4ihYp048n7GamCwqwIttX
vEADxxj6Uxt2wsU8zzmh5Wh5NcFFi8AJcq5I/RpzYm3YF0TOhADd/I8KtTPxEqmmfB46BICQiTel
nv7587j4ZXgG+DyQqSH/TBd1yp46uPFzkXV3kiji7e9LjF8qQ1/oEBi4EmYe+hxLMfdDidFYvZ2H
g8r2Pdyf60Ki7n9XAxZFVF5oaPE+EEDqvxz/lwu6UNSX7EzzF3lWsXAGLSfN2FAqHPzsEiUBPAXJ
VkmdP7daiZukiTgPMqy6eX/t4B9BBRrhQNxGOuoUmSKdLOeq340N7/Xf3w/z7z4fJPoF+uYKOkln
5Yka41LzrC7dR3luMTlp8rfSrHimhnZoBJMKi8N2lqHqWkWJ3l6BwKGYZWR2rXQO2jFfgqNMcfQM
uLyTQeXJdAK5bDZ19oVlxP5lAUjiMnWwf7X9gl5klm8z3GNXNkcK1w1+J3lvwmx/xqaMy87nf3a0
x91bxpu8gCX5Pw8CVvTT+1uxQIHhrYcZocwH90I/izJbViNxpA5+ZMdBmneOoic6E9+G1qT71kE+
ZS9o23YkgJI55ZcqdrW9xrER711kbO0a73BYtx8FfbH8fqqzkanCVmIYyE/CMj1bnu3kDI4iTmbv
U2/vbJDZF8oaPtoGfulYcBUaFaQguxb5hOe/eRd3PdaGEoCuxeH53ThZ0IbHvUiABBotjHIT86Kr
KOXQ+/v1Zvx6jzmimEv/ByepaZ2Xw5OeWkA2hmhvNfgv95lV+pealP5T3nE0bkqiNa59DUcfSIiH
lMnDG2mCw6ad4Kuu2xLs77LfMlCtMtR0m7BVHCeJudhz/vYvk7JovmG9k+1Bkw2F6/un/4+E9oN+
NeLtZaf87/vVhywjNT5ufmxV//WX/mpVey4BFVjI3zE3S+QF/95frWpfp1UNRZXGM2LpZWn82Kqm
i802jRgamTo913+3qk3nHz571tJZcf4C7vxBq5oMiPNHD80rGnFUu0vyBbi+n98MsRMjN9Sb6DgC
N8PxrAi8tJPJuVCVizQRkLYVWJQf9yqtqqXYtBmoit6zxyBsEDztaz2XnHHLzDnOs2th9aEu5iAn
xHjbkQFv7XScldpt6if1I/YFvPC9wk+AVxA+LDiAhtCegXJjlUnUNasuFzOu+rJzLgHcuQxjCaM/
zPqM/alIeG+gfjHrTa8nY4R/s5TgyiX7k+Vp1QuoF/eVOXIftPiBNySm4ykm8KZtOHDZGON0hJHG
pW+0UdD4uXMaMAqs8r67azJqYLfRGR8jPBD4ZB09vuckNd1itm6v6tDI73JKzGLjjiXIn4TWlL0q
bBGiTkrUXWYrCrCQqCMmyNM+HBz/aKiaYK3I242xUWv4vuOStDU6PEYTgQRuOVvpwWhLbFutazxi
wzJWsVln97oxOhsMpU9hP6lru5z8oJhN86YzkvrQl5MVRLpxQwHbBDanx402xSiClJbdmK6WXZnF
cGcLNBh2hiV7pUY3enWkoXaWW5qATYr0Qs/zLKCpUt31NUPIVRfF4QmZhHU1RIXJZ+vm7lIMm8oo
yyup6vwt6R1/26fWtG3s2OMt4DZ3dIZfbSnp5bH5rAmmq1YO4aaryJ4ffUvTVzWKWjKx7CPGatp3
5JndJ6Q535lETFyYyh1u4oZUe5VGL4lhRs926QwBQ84LpJRTYHc1MwZDwn1zlHbbl2N+n9Up7KWU
ZFMDDvS65Y4Q/ZTe1lnSgshmOhHzxH5Ox5kw6obT6hQ3JCKOtrHRbT4pTYIwEL0MP82eS3cP8C9c
gwSrK/9skkDlUUq/MKNKHCHgf8v489dYGLJbiFAQnqdR+ncurOlbznV48Al6QC4ezvOVpSHBTRQT
0FSM5W7WuuJOGKxo1+naSyO1MJ1mxkrVJuFvLPtTOZrzV3Srdox5uo2OVhLptGzSrEKc1ltBlabw
5hIZbrWqu2A40xzJwDj1fQOrfIa/sapAHBNkN6ITKDLK+YY1SDUKeKeTWrt25vZBY4IZNfOdF09i
K90Lq6cUb6riyzR0yU1k1tdamz3o9EUDP7PumJVnm8JTr41y3QNU4IfJjAr6a81T7tbZNo2Nlt5Y
bFzYFmrJYvmlpm9aCPO8BFq4mjvxSB1DiTz5cq+GXjsNDN42eFTDIBHWVzbD5trA27jVUHGvszS0
CWxqrAfL0Yb1CBQWoW0tVuTV8FhpRxeJwUrGxtfeldWmc/N6l7mVgVDjOLfxZZtja65wz09FfAWF
CIYC/lKttvIA7TE5V4OKt4CDx7XF6P6OLLrsFsp1eOgTbvOEiuiAkWa8zcds3hVtalCKKBKw0pHU
rLo/0tccDjWcrjRAMDvcDlb70JFCvNeqyb5CZB0RsIfexhrEPTJ7K/ODSkfHdTPJwcwxRdtXee29
lBVIa8eZ/U8JKoatZeCTi7xY3kymF1/bUfNcWAp1IfS81Rzrz47qbWy4tWifGgrdncgjFdQqMy7C
jJR2YdgsaRFm6z7HLJ1NUXYzse2uopH9jhjassT0PD3NnR+vesn+3HeswXgapyd/WkJIiJmv7qua
RpYgDS70ivy6zCOLeGYfHcVNCN/oYCo0PDvUIIgTMptUtWZOyoNKe3DXcdFmAfly/l2buG+qRG+M
nVLfDpGX0WH0iAZcaQ4yIGIn8lKurTjvRoRemL1R/MeOttXnaN56RpvTp69GHvEC+e2INRZvmW7t
p75oaawJCkVaEtVrqiXltIpw1ooNsQYGepYa4/IKsLFH5Yhg73K0aud25IV9b9aSRyQdWHooK3v7
S6PH9TGac+Lf2tm0X1pWf7zWuypEN6xJ11pxAHXvqkzzELXooj6WhvCO1SS1bUtHItxjbD9M+OCu
GZ1k956WmLgje83dkb/KwmUIEH1VntWQYGjleyr/6BkfGu2K3KuTZB1OrXUZEoWAGtJSyDfnoZOH
XqHMGsy+71fmOGu3iq39jcKJQTFB38OpBeJ4M41GJQLXmRB7zXqhQhojHcGz1jh3j0Ka1XNVi/gr
7+SwWA15d2rMOb8m8cJ/E2PUzUEEe+ZO69P+UQMmcpUL98DhGFtFbjrf7MK3Sb6NzKpbdXafAQpH
mGOX/SFnt6UdoRtTMGX1YoeR3EWEpZH30PWTfYmUMvumJSKRx7wzjGbFGX64lZXlPPAe8TcKnf62
w5JD7IdLP442rx6Fh5o0t9cUFY7FZgSLxE+L/mZ0EemsSLHQbuLEadTKIELiazLJ9MrMFOzTXraW
uzZ8WjVg0tNvVluld2oo7jHg09uDiicPGCzygCKNh5WZR3U9V2Yl1wTugeMwGgTwmwmOwEnhUv5q
D9PwXXpR9eRZFuxNLUGQpYV+6K/GatKOwIH7m8Jmv6HJWmuvlpjos9UFDHlT85p9504K96g2qCc/
HAu4R7PsDkqHghEkcVIh9XPz5LEC9mWtvNJs7+i6dtlKG83qymlVduCZi5GEMTmY1pOFIo1PzgDM
rcVX6bfS2hSxSMdApw+46zIrvpO+EjuMF+66QGKfAAu2kh3bMwJle2kUmanhXk5DWx31qHUCh+4/
HbKuCTLGcwQgK/jAXm1tKmFXaycx2o0dkYS50ht1q3dNGzS27V9mWt8BCpBlG4xuog6NaxFZCU6x
/ko3fkHihR1p593YlF/SyVDMwizqFRJLq/m7wwHqJAVuCdNwXmjz+J/dqMify7Apt2aU9VnAFi/J
2cWuqq0HP2VHxEgkDrEr3JM/W+5TT0bDXkVqCtdGaBNSNZmT+eIO+JpaqZsPfhtRDRF3NCLkrLHq
gGkq95hN+c907lJvn5jRdOelklia0Yj05x6q2poEG/VEWd/e2n6LdSMZDfG1mzlAbkIBoFkNolnc
0a7+za/wQWxk7oTa0SsT+SX22+LzNLdOszWLaLzomm5CB6VpUTDXGCkxxaaHJExvBDGMX6rCvQrh
95dR3q8JidoMXocZYmr9W6sl9KdzrTAI/RzbjO0r49rJOBt6eujuKoeDxcque+vFd2fDQXGswqUk
dLGR5ANiaB32y7TWm1js/CwMrxrCGDaDMcO0TbJ+N1t2G8x4s7edEN2ljmPF6aCTAIXoSGHvHPe7
g/02WvUNySCpQ7BJiIvuxbFKue1LYaYrfs25WSvYC6fIGEFgcMzC9y5tJIjwvBILvIyVfFPCxx7A
eKhYKS3K2FrM4VRic3jMwPV/QtAZwYawNeoD2V3WeBDoV6aOd0HjFoys4IyYD+HRm/GWkwtbdahl
fPBaBYEqX5ii6PUKnxOq9Si2W7lRynA2uHjmi1TT1XFwLP2Sb5hdGsQRvMo5brd53Lb7XFX9NvTN
4lBloRkY6fyoJixYa93QazLDKvfGrCrMHCKu/9nz+k+V/FGVjBbL/F2VfFl2cUPr8vmnMvmff+tf
ZbIHRdYxfDgfWD0de8HI/qtMhjK/CPIokB0UTrxv/l0mm3DmQcRj4ET24vrGUryiUG6j//d/DP5B
JDfIsNDDwNnz9T+xm5pnQhB96dkYOGFtAuyok89VSTHptV0ZL9DoQrpeQOa4fieiaj4Rxcv8vko8
pO7KFS+N5kqSjHyE83khj2TNUZ/WRs+I3dUvS+EUu5RGH0nyepavPC/VPnlgMQI3gnO9KUXrr/Uo
Ga/1Quu+J7j7QZuH2YNlgPRWjMtRsefyVAoLqXRhuH2A/AWiSyjqYdfm2rwAmJ37rujGD6SRZx1k
7gCUBMPC8ovuZumb/twnSCbIRmWv1GGsCVOEq+rvwqnz10bbLt+Lz/3DEvlY2vZ+PdRmBFaQL4DG
b2nm/dCxNjRdjGGaqgMjZ6QFYfYSzgNhL5J78PsrnTXjlyu5iOfov0DMWvqPP19p7tDiL9qvwyCr
JjCo+FckYWk7TKvxPdJ/a8dUUN79/qJn/ef3i9IYErrDYvJQ3f580UQYzZAXTXbonAj3orYUuo0w
XDvoRhv3559fDeAkQADdQz/7S4d3ia0q8gSfF4DW9FTU+bxF6aoP12hMPv3+Wuft5OWr4UjgIq5J
U4l22M9fbcQyE2FPjg9VNGbm2oxkkwVVxajTq3VKFLzJ113d6ZdDk/Z7ujmtYj7rNH/8nWlqkfpJ
A2cRip13XOlpuVPemcmh6pA9BWMzNYETwlv2HcqVDy726xqyhU4THdWpx3nxvf37w2olgikz29pJ
OADO823p1UCCNJ5gjjFphIcmthPS5P3U++C6vy6jJVdVp6mMEM5FMfHzvU7DZIhDRyXLaLSnmcav
OZjdMEAMw532+x/27FrvASAYHRkT8PMS/nF2LSvWBr2P/PgQ61UYVKRj4zcQ9bQEXpuff3+ts/32
/VqMZ7iVSNEt+7xVT+Kao9Uaa2ie5kEPSunmx4xxtx78/jo+9+fHwcN7qIm5RNOwybBcjZ/vX0d6
aO2UY4zNz+6TAP07X8qaCgKme9O+j+KYLKexbnETznhE5EZA/PlnnvTr+H/D7+Xf7HRna2f5rrDL
2ejo9RI+dL52SKpMSQJr+Qx9Ewa4kCpjFc7kXUtzYngdeuC8iEf6YD9/v4VnX92ATotTYdHb/oKG
7UOHhoF0MWHQFHmscfMcYb9MVyopol1tKhhQjOlGSsppDN21BJjTHwanGL9RO1b1q+r9/JjKQu5D
oWG4pLxC5JBot7//hf7uc9r8MIuOEIKiOE9nItxBDrOraXthus7LNHVWjZk88/mJMmdw9lRuymVw
o7m0QcsBdlpvYOMwCykPXVpaF5z25WGMPfPK15zG3eIALxMO57770YDp11XrAV4xYSjQ1kcZeyYX
FX4BOTUbcLP4YkrXKTVJusak325+f09+fRL/iVhx0YyyxZ2/G2PN4KZoDWRthqa3yDvQqBVg4i6I
DbTvf3+t8+2c5ekJ5g0Gb0fGuf45aGPyGruxxoTtHOxaEHqyD0SmunXGo7Klp0ywBQzrC70b3a8a
oMvdWNrt7qMPYS9P4s/L1TPRg8Mm5lDAxzl7q2RIHg2eDLl3caVPBzcz2ExbfzTVIezUfKuZjnix
I4nlCUdejdaUPFn+my4RlELBjC3s5dEnzfWm7X3yjpsqUeSogL7AWJ3m84mMMXmMcDXdzZkp3/qx
yx68KZtPc4YxB6xX7dy7IJSOBsGXF30t2HCbfDDubMDA90BtxL7VoZtH1GtdAKYD7LA7zLdTKM1u
lRVRD7hJtM+ZnMTLrHGMazQFBB8upXxDuW2TApBXpLYwJZf7mSZYs01cSHEregLLGaGkMbRCeGY9
I2rTX4suNz8PpqmqFZGuqLAaumhvWd9aiJ5gEkS4rZLoFJo82ZbN1qLXfYxgjc27bEL7LWQCbuDR
59i4LqQAmjHEPkF39JitHXMRDkMISJtvnotxq0gq9yuj/Nq7K/WE9cbTT9JbWvpcno6pRju8Ye+k
hna/zni2ghGN0Mld/m5jl3wM0pFoPcRDQ4BfnGmf/NKcTrxnkBBV03D9fnulM7Qbo4jErYIxm2Jn
dbPoIPUQ8Z9BD/QEIz3HIj1Hidq477sVzdiLup3ZoTx91J4QW7IiSzHqgkhLfd5Di+feTRgyG8jX
IvqEM9h67GqBxMAIRXGzdE2KILH4dxCIRSd6M2FAhz1+AZQNU0TWNfInf/Yz8L02LwViis3PHmxO
A3wt9zY3jfglC3Njq9el9YySC3oqDw2iOSKK51sSDMZ23aZkjou+Gq/jyeojiI56/JQ5LVsTkBca
8IJGrrmsw3yZaXlk7+LOi7w2DnB4cIABmDdvi54ErJWbt/MpHKYlGo/Sa0I11c+3ua0J/HD0OAMg
hTSVEr5Agzp4mGmCscA24KTVczSEAgqUx+q1U2u8qWUEKqoDlEBKJ6hsJ0q5YSK0plOoZckx9bKN
P2spDkBrvEbSVW1p+eoMuKB1VORDryetrG/DNooPwquLC7B11jqG2YLQphGL3Gg+dpVw9jDK5aew
dTclwovnyinSEyJMQGPSJtJgdnfoZBVWXjnSOUjMr+TPQMC38p34/+ydSXPcSpal/0pb71GGeVj0
JuYIDsGZlDYwUiIxAw64Y/Jf3x+UVdVPlEqyqnUv0izT8j0iMDmu33vOdxpQnkbROxsS1vXaZs+3
tvwansjEUIn2FGZQrqr9FGXDOUvI7cytaJemrbMbeyS2KFTEKjV6AcJsJKSo4rQIpOzWmHVLWmQL
/Ua6BFt67hemWs5VUmXnDlTqCpDLtCHPwF3zwQGC3maPfuzTR5TCvijR5yFZ9tZCEQxURJUJotKi
Y6FNfxMJYoWyKL2T6fxGl+dV9Ibc5kblbMBH1CiNwF8YZvjS+oTvoEYU0FOnkK8acNWvlYMymaEy
41H0CD5qNNQ0D8MQXzR1kLwoQdcnBZ1+SsuKBdhdaqTKnq/9zHGulJbtrUWG7MkY4AFo7V8WQTuH
YuUiFZcRFIbWTuR7i8H2MKONxmCKmJtxSOLkpK+7iLtiIwkuew8W+qop8R+tBgLTHz3tOruJOE7C
tgcAL8qy2jOFkptuRp/1ogjM8rGjc/dIW3O8nxuP+qGRIkxW5KTNVwWQm6WvFuzcAqhRXtGEISUU
k3sbVRyUKvqqS8w7iLzjXTDO89bRfb9dvj8onBsBvyUTbQUWMNB4AQAJIDWGbwjJnBlDN1OLFOHE
t7D25RrUcsZSBPqXrh9fhCCJAqRxbH16nr9NRZm3A73u7vtxcMW6E3Z1lqZ6CkoNVGXEXOi2mvla
UjJl2xAh5uY7L7crMC6y2JFo5t2YdEF3cLaTZ5Un44XTTxuVxeMpB8CiVja0ja9OPmFN8Gr6z8y9
O4PkiS49OS11O55oGsl6wFeyyqkd2CKUxm05dwGh5R12YEhRZqWGLz0Zwh/KnQrwCOCqH+zKC56n
UUd6jzjcwMQ7Iq9teuoxMFgHoXV0PRmtz0xUzmunaZYAzjbAwT9Gh2iyILwKq+/eBRk9W8Ju5lOr
HGCernkVkelSrt3IunQBRVPC1MG+D8rotoxbslFjJ3bY/MMGpU3RWQ9GBtzEUmV04qZG95PHuIGP
cKlWQJDcb5M25W2gYPVObS03YYNlGFMR1PC8Ju82TjyI7Qwo/VBBMqFV/ljMsrlJlESAHFv5Mc5b
+4orSAYrvdR2iK39gOz4RITHlU/7YB1XkU2ae+kdvDZwLqMkwYQsIHzFXmttqnBsUBtrsSu1DF/7
pe/LQtOuBzmCDQ1Vs7BAcevv06FG6FqPFsQAGdNzNSfnujfD5mxqWAKI3Bp/JaSR19u5MBp3leVo
5KEDB1/IH6eJ07TJxWQQV44x2y2PM1TNd8V2/JKBQH+rXAPbP6aEQa6NAojsyo3GDmvA4F2zYxf7
omLcGg9WcyqtWfF2ER805lV5I3xPnUPSAA5OK9NonUXhoZp0d0SkDtMV+M9Fw/jsKu/rcO8mQ/VW
1G0AbgWa7LObQIT1/bz4iLwK3YYIRHNkLk0vCcbUUyDFV5JApy0hwG6JIFMDOpCxHl5Nwp9HFgEJ
Wg0UaMHH1UQoldZYo3PdX0DqyICf51vueLYtKvsbqSqAd7BgFzg2HAlkO5mvgqhv3gKrHoAv5cYG
qu90A0FU72dvjjfg/tWNZQ7yLe8K1uy25KvBItAVCYYVF9KE90iMTh2ARwW1CJbEraf0IzVm1MkZ
OY282Kpmm6SMj5aUIfCjwr7ORq9/ZCA9vLldFgJrjRhfkNVkMHoATbP012dAyvjT6qo+GL5LyjMS
42Rb+cPzrIgQNIsKAFI4lNYqbwGVQ/Ow1lRRyTVxZ8FGlS1dDUjnTMnKCTKuq6aDW+fmFV6GclMW
I9+Mxp5n1IB9j5GJxSntV+CDpoMVj+pkdZXoN8q1G5azGaBA6OQ2HC3P7o8eTFuTZjVVUhETyb1O
pDYeSJUzd1GBwVrwUdjDdlUnQTrlN8HeiB1GWgIdq7gKXZh9je3lUaajZF6lgbABmtnddPBNJ36a
Pdt5NWxhfNh+P17G4Zw8eLXOIeHxZyd3ih6tOiP+svc6+NxYIJDCROtWZo8UxvFWxb5JJHh75ztP
SbKMZjTLKxG9PFTVk+nV5sqEshMMOAHyoNZrDLc7VxsY8WtkA0TpVKtpISgHhL2jQIWlHrLHXtUO
3Ndoyt6K0iYczmCfjCAFi9LsLzAPw971/vjO5BYXD23fddvZ0a6wSIksKv9kSzI3rQzCdOX1u5AZ
3toLbWMTxDzOZj5ZF7NXwV6wXoml81Hh9OHenttiRYxSuUf+Pt23PgApmwSUK0jESO9Mh8QNWHD+
MNinjMbuVtLNOmXdXB4ik/aAPQ0z73PX70WqzLdCgb1nj89Xh0Lo5PaNu5VR1u6wZchLU035ZUGM
ZwEsBwRoOqEHn/wNdPDz6JsWY+3JP3gdDBWzGkK2JgKaQYgcmVLwZrKkSTZpLnahwjjdGc1WEHOw
t/yswZAUfe1mo9p1M/YTJegd6IR0sVEivjJeM9/dkVJFvGcfXdeVPFVG+2Ws9Lkv4pNq/EfRxVcs
uTSMiPS88Dv9kbfJE5FUd4Fd7wXVNKIYSH1mNiKKoEkZKDCKninXmlDsTYQN9LFZ8HxmY79NkUVh
ZSQs8ql9LOG/bCLb3OW9uJjSAG9O4n+rhojhLtzoRWnKjgD3UP+sHf1tggLhw4jYtUGZjes5mpNn
U8gE6kQXFie3Q+M1z2QcNuQKWHqLqPZlgl98YB5w6bWPZjj0D23YRttUZveBk6SHgPniumuH/sWw
u3A7gblAAD12l33fMZgCZ8ZrPpsnj6jOF1+69T6rWh/EVjp2x6z1aY8CeWY7EUTptG9GixI66wqX
MTzWIXQFRrdLq+kOyWn03fRRuZ0MAd/aWhWRDM29Pdijc6HCCiTfCun5dFPa3fL37LbIX0GQ+yON
i0W1maCrj3bBWIhusYG5AGBMZHk7YDYg+QrqoUPg9IFxrXrF2FAazWJRiWia+nJkywmEct31dvwl
JF4R3xJ+rBVHZcTggQHqKEXYSG0wd7AtSnjs+03D8kKfaZlpzE0ff+kTNgix0bLHaFC+55merlu+
cU94eucr8nPYJaMFRpHa+uZ1bnjZsFWQo2+rPmBZGoH8ExWw7E6gRg7vubZHDHgzUzpSVjBtdcUp
Lcb4S0LipQf6PbDuLOmprc+0ExauHsw3kGy+d6XSYdnyRqqZ16knJJrBgdKhNHxzLyynO1Lb86fB
LmFUadigb7w50bvACthfjb766peVvck6yr+Vm4obr9PrwhqI/BKIDjWf/KNdSD6k0olPTurRFJBs
8mFv0SNYJjU/jjcI19jOjd8dY1IG9uwThr0ZuNXLj38Egp99Z/ps+5sAZyGYAn1gTCpeZYXucT11
Nl0C7C7nUVP2GGw2mfXo2r+PCi4m81cP/qRqdz8axSAiGaNMOCz6gr4xifcC+ESWgg2I+IlVOhYn
lFz13q88+dxkihMgE4jI1XTSt5LGyw0MbawZvcldrwkCOMbj1B07r55uCrwtOw0Q5qCLXl9NYp4V
xEbOy0W2+SA8tn3tgEWU+OK83VOqsbfv+zIAO17EWOkyTVeE5iWLAagYKJgIxRrsBO2xiM2q4vk3
tXEZNYl4pfmX7XHN0FEMSdrpOgmjpYwULRnioRjtJrrZKVQ57mWJV+faAwZ40eSaCZn2aF7Fujj9
eO4MUoJ3A5p0yn/EaUgY9W2qpM82CYgSvy8V8YdRLwGBBtus27JfrknZM2UjzPWWezVdN8HAZaNJ
+YN8d0UKQL1vllac7Gt9FSDPOpNLjqsFS+bOd3kClLtEzETD8gfL3L9P7MhAg4lxXpQN/fxAhJup
DsyXylwC/ABxH4N6+X8bxdWy/IkH1nKC+Qq3Gs+ORioPbsowX1I4ESBRFHTTTPLcp1hSLy2IX7yR
y4bfMuz4Q1vowIecp8nR/FE0fc0rrcSaGXZtD4/YbqzLyBrj00CQ3WucmhMSs5RXx0h5hV2nZzY5
qvgUC6t5LQKpjlE7GSja5fAjwqmMrTs2B5xhbfu0v+IkKaiA47HeEyhrX7Jv6Z5VtFzeCrjSCYuT
vhpkY9+NxRKotbywtizS75WuxCuyFg499XI4lWqOj4qWK6JDHL+vZAYw3qcjp1r+vagDhMXi+9Z7
clinFrg+ocS3GnvMOmKYh820i0+m4u4oFfOyT7yBcT9HdCzwYqtuUNuk8ecrhxb4lSCE6UuHVp4A
M19bF2ViW+fa8eOTVzr8csXOx9vULId7k8xyiYWSW4woMlqPgtacJzxaCh6CH5JYFHvCMep5SgJt
viVmLl4ZRRoo51LBO910XrzBceUjpWB9jFyuVIIi5EGzISDPUXDChIHzDHYmFDWgWjEOZBxi1AGz
PhgBRm1AO2z7Qj8d3kOffTKsL2t6kRC3vk5DyBRKUpB3tFJFsk0pK/gyIqO5tORQX6ej6rHTjeF3
MbjxR9ZM0WnwUMfBduXL5GYjMY9eAHML5y6i4KiNv+S+54HS7tC/bYKGBvemFFkz/6v9/P+FDn8T
OgDRpS39X9sBdigrs+8/yxz+9e/8h8zB/Df+hElXE4LFv0v+/13mgFEAhIuPmx0lCtvJgKb/f+QF
WlC1AYgA9TCJoKWv+f9kDu6/UbIDwQ4pL3zKDO+/I3NYeug/9dh9WjWLysHDjuPgxfl5GpaMywZJ
NP3Btnu2YCUtLdprQK0XHDRvU+B1NZYmPNKbH+viP67Vb+Zgn6YanskgHHkH1yeEvMQo9eejt22i
o0FPaj/29rBleOsD/cOnOQdZdfgfHIrUYJNPNtP3z4x6ctsGy6oYU7hWl+1L20JvSW90y+aq/cuE
8XdnxaWMIIjAS3F/URdYUyFm1wUNPU3ZHsV3u8HySST9FPR/Md19Gmb+uIAO50Q8Iw/FLz6uiT4m
njkuIAsrQl4Ch2qsqR/T4G+SOibSuHFw4sUxSTEm+60/X9JPs69/P/jibOIpJjLik4pCkQ4W485W
e5ojPpvdKd3WFoTrPx/l16vpgQCzERcgRnHCz0N9mYSOHNq433eR6+O5tmuJ8GZqg2GbL5Fgfzmp
T6NZTspj7gVLzmEWbcKT+vmR9NoBT4KleqQuPnLsontHSfJBdAVB82V1QSPsb/EJv15GRAQQfBZy
lItl89MIMU6LfAydpt/npsfngo4oNytqtn++jJ/EPD/Oy3aZqYYM1Jahxc/n5faxVRfk1uwd2Nno
WY1LiG/n2aKvPpmVt/rz0X53Ff95tE+PBp6kpE28soeFPNLkZZZOm4o6AMjuqiFqmjCY4u3Ph7Tx
Tv1zKftxhiGKMc/BKMUD+Wkpm1OkhhSaam8xzSJhxC2fEj7jR7/R4aFvkmLTt/Qp5pAJoCu/+wq1
t/CcQ590C2U3Grb9ZBNTMwbi2zQRfkPTHo96rNp7jTynDNIEOXOr/7IwWb+5/wtia9EFhXQ5Pj9x
oUx8u1G8RtnYu0gRjJEUnmnyhq1h0IXPpEXac9iMG4ert7XLyf1qanY+vRUSHUaHZJ2IJDpjIP13
E+B/KVPwfvvTWJ+XN9zjP59ehjwq/UJ7pQJOnm5hdHtssuhktKFPUd0mElSnk6/ZgkU4A0oNxqPG
ASsJj6bZPpFqNZg1sN1lKwwhceVYAoRqDUIRyScikt7urkHDGkddwFhpB6U2I0XVugWf8dRDCXlS
QxivIydr151rBDug34whHTb25GafmK9Jop3Jj8Oihoa79C6gVTz2tNiv8SxRCDsapIzTZ5vRUGeK
I33A3IpxxMXZO9HDuiTiyiT/C8dxXoNRIbLto5idOxUq0CtBsvhjU3XmL9e7Pz+tv74goQfg1Oat
R5DBVP/n13FiGttTvHPTJQzRArEwrLgj++iHXsdiSzSe9d9+JTmitygt0VUu683PR6QPO4SRLtS+
QyVhSXdLfvi3qHYvO6cGnhH5L38+w1/XbaiSrDYIlbDT/KKPwqM61Nwbtc/nkiIXIs0xaUgfDm1w
IX8+1K+PKRostjAm6CnTwTv986klmBjycWj4CobwjLCOWMgk+uAvF/C3R3HxLLONd/D1frqAwJeM
ChQenzu/M7tVG0TGATdJePPnk/mcpsM6tijKgCNTLVoBn6Ofz6bIDHpNIpL7abIgIVuS/AfSvza+
JCTSJd2ekoIH36TfderC585O9g1ZFn9blhwO84/K8MfPoISxMO6AVLTcT5+llvmAzoZAwtUug+2I
3G1H/pnauaPCCui42j1aNQmRndm8l80Y3LFnHPeJZw5XldbOyWM+95c7YP/2N5FtjSYFee8vtNLE
NQwjTh25r5O+Ppqdt41Mkik0LKXrWKJQSYNefCk9XuWyNeZzDyFm7QN52kQhcW5BXb6X1jRcMzFk
Rjp+7XPDXreZEvdzDUVGqIyhEgkBp3ourw1T/a24+P0JLHZwh5Ke93/5hv1DNBhbXVTN4chFxa6A
nVLs+tFNHlNWsTXu23xDTqOJt8BXfLG66jSn+jXMggcka9GRSUu82DkIfDSb6BalRPMQuvpdE619
ckAm7UaRQMQpmLs4OeimLmvFX8qjz9qgfz0W/ziDT0/nqEgbTZpZ7mcCd1F/RfVJMfLd5IbJIBQX
n9P7OBdy8wgceljLJSThzy+I89unAFXS4qRGxPv5dQ9n1pLZ6yX0JzLVFoKJ90ZZdRO4EidcZH5v
6AY9B9BlvskOEvSQrPPGxvuw2BqHRO5sQtk2ne8GqzGzRpwvdi9gR5nmfvIwbrl5Yr3PtWWxVAa0
lQmUMXMYIkb0TJJ4dyCuz7w0PKs86KZ5DQbz3p85UAJYai1GqN1/uea/lm6hz25wUQt6jAaWDek/
HxqQOEER5ywIbV4+1/E+wMi4MbSZrsg1cv5SJ/5m2UaQ6LHzhPpJrRj+fDBI66gsWHT2ApJalJFU
6VhDvjjPor8caflLnxYYjoQPPkJmjtXnU40IP68XQezxJHXJQ4EL+5nkcOBm1cxuwpsLsg9N3whP
sY/A4s+P0G++vghnbT9w0PhDqP10kipB8hXnpmTOPZMIFC5etDuTlgvK5De2vP5fPlCfaTTLW+Ob
nh2FFigKDwH4z1c1Ggw5IVKTkHei+q53qHvmGFkICrG1M+h3wH4PTVZisJ8FxY2L4h1laLcxqVb+
fOq/fZjg5PJlcRBKf5aekiBLR2ng/SXAVSFZwybmks27MjIyDqDcffz5cL/5aPomlWMYISaEDvPp
JvtRXiTYQLnJczftE4FlXDPm+sse8bfX16KTwZPE5f0FgwrCPWksV8g9e+RuHQ5TCtgsj9Z+HBrH
UeKXSAa3hyHXltsxhphGN6DcToNxgVTmb2vkr5tybCvsCtmU42IBP/TzzR7hwehUFvyYQZmQtUjy
kJ2+moelTVpZxnrJ8t2ngUJoU+Bt/fMV/8zh+fGsUQ1xsanbQ4Infz68QvRoO7XZkYbtpm8iWIKP
iLBWZ5lZXrUiDogBNawFhiUGucgU1D5iig3NUFAEVRsgzyJ1Y7waUgfno61Ub629xJPf//w7f7PQ
LBpsRNhoTa3ghwj4H5/C1MCeDsig3ftT3KHP0cPWlYzyFtzEXy7Jbw4FZsYNgD3Thgs/936y3JIE
OgfMOnRcfbjYKW91ndILZsD0PzgtalDCJum7Ohzw0wNPsplWmILbvWdn3W2Ezn3XzEsAfKfoIv5n
o/E3zbPfLGIcibYIJSJuh8/7RgyASd70HClzzGQTq1rcV0lrb/m6kXU2VS5WQrKo/nzQ315K9tcu
/H3GE9Gn00uQT6oo9dr9bFvE8S69dVj59qbD3fKXQyHz/fULQaVhLjrwIISc9elJDgu36WG98oi4
nYmqhUEWjsbUHVEcVXENaY55EyzBQpXr1hlGY8fOsZ+2egqc6hbJLi8X/m2iB2I5l0+2GJiIdnUR
9sx3Sp/hAebFV0A8ZGVAjpa7JC3hQUnioxldcUpE+fkNGPxo8GBUjciU5wvwagx1UGxpRI0d8MCk
SK0Hn5Aw8Jcuio5dblWgPJxIpPZLNJJiggGTZgmCOHYwKXPxzok3DEm69FGWjTUfCRiJvD0JgZW7
NUxhnSpCSIy97ItBXntV3YdXrurn+BavbVnv+N/GiMygk8W06l3M1Bu4gm5yFQa4lze95zT5rkcp
dz8wL45B9RnNgbgaAI1z0tkgL9PsqcJg4DLOcZv8GCRjIshibiCwzkU2I4wRM+zSHEWOn639CJv+
XkpG65tp8GakLsMcmxfYOGOTvkMlQChUGItXQxaG9itgXvolQaymNbFHTXePzw3XfKMgV96McTDc
14Ci1XY22ii4M5sqTLY4DZL+SBE77dqQ8KodMU0+6sUFs7Fmlh7tl8zvZlvGS/vPhKZbEJnthY95
2pbrqayAnEg3RRCSCyLuqrC/pc+76wdPPMfCLl+w+Zt3qvbRrlT5dDDmHO0tNEe4mru6lTvUCvVd
HNBEddNkW+g629tugQgzKqpd0g8nZ5jHtS3ka16Q/eIxed/0OanYleN8dx1j3A71LPkNXbBnQG9u
8dT7e4y1zYqKWa8I+yFhwxXTW6DgmLo9wY11MLzq1vcOSE41g06S4jIAYKa/9Q2/vfGiqttaZp3d
YLTV697MrAtSmtIrZ+R+sFvIIJDFTxN0AwBaFtlz4HpTaCXHOHILwBpFT1Ehg3XJV2IjZbDMSadj
qwjIyPS8ZOAU54Lu0jS63amYJnujzYJwKwXfIodpC1KzqC5GJ91k3NmbOHTvKiOdttZI3p4GzYoO
WPWb2CZiRlO63sVJKb7WoTQv6xTP5KxaHwWW6kDytmh8FCy4kIY1k7bGO3ZlpFcB0t+jY2ak6c1B
uKVJcbKtaYcn2toV3szgtSclJcMD4Ln3WT+/eFNcb0dk2hBl45fKNxJApUUVHoc+qHeD0cbEmxkP
JLwxY44dFMlJE25NJsvchxY9dx6BR2DfcJd1xnDTJsjbJXzd1egQlziT5FROOlvNRv0uW7jqoaMy
IKVVdaircPhwJcrhORs1Ha5iyJSe133TAupha26bXRJvG5zjD0UTphqJalQ8V7aJOCxAqggqVbFI
5Ek/fhFc++t25CkDeEDmWmEdTaJ6sLNAO8WdiMRPNc2WgM9pG0MxmuVlOCOzll/mFL0ywl0QOSNK
X2l3XwyLcK48QXJr2PzmfWDYzbcJurU4OMirekSRXYCUpsEReWnA6MihwIYosUpYY8YSnGZi927a
7NB1XKmVKupyo8NqeEjp6t/YZW4/xFVdZEciqrotwUUtgUk2kSXZMGrgCTTjUqA+b74ZU0/S30Wq
r0loE3xkvyn4lj7AkqRZ56OXOZfTJP17F63BR0Rzv19TBVRsvuPB3Og5nB6Zv1cfnegY/s+VtL7W
E8N2tmjeOWJe+gWg0IheR857RcXyEM5u/mUgxo2HsZy2jbLb0w8MaTbV7tF2HflMF44xSE56+k4N
PU9C6kTtS5qE7bcW+M6uQDn7ErR2dsgBsJdHZ1LFDniOfPaaFrJO0Izjxo+9Sm16LXk5AEeRemm6
mGN84FY5BdexX4LYAlrIW3alUUdSJoCGQ8WwF7JSlgxPbTwmeht6mRWuIhKdMjwLbhtB9Y4cwLfI
unkGjfGURHl6j/MBxkyAwGcnuZzGE9QGTjEQRZRewA3np/rF8DTYUz9eYXFMzlkIlrBhCn/VqDC8
dFNA6cIREGHNzL8flO1pqK5Bi0IiJVxtRAhK687e0jjzzvD9Wn9bN4typJ+K3dhMiPCDIEjOZSmG
YC1ItzzzErW8VNxdmvDtqagi94yqT7x1Q9Lduhp1sMy43llezHs91/MeUVh2AM0zXxg8mrfC68Qb
4tkaHayvARcVbZ6BFfeygzdV/FkDZYvVue1JWHl0qQcp4LaI7oX8I3urg6D9BqwabqYm+w8WUl3F
p4RuxL6PFBnuo/TOrm6NkYieKDlPmQeEcfQRP33XpMYhExeos1ycYiNq1kuLz7LYjBGmISNd4iCS
Os1rVqg+lnCWTOtBWLN3zrwmfhR+mmCW6JuvfuIXG9WnpKzZho7R64cUkeBZbBB9YQs+yIw3idEP
F13FyWOcnR5hx7AuJqSyOqTeboRpJOc+an2ssaFHBY42gomFg7a9K2LkBCqiibPJEE+d0krxD8RD
FBKlNZZqk2sBA0fzntPGquXzjLD2IwwG+T1IXA9nxYznt0N9vMJHRJCUyG3vPqvS4cltVB/A2OdH
lp5Z3IWqE69Onvr3RqQBvYl6TM+zX9XWCmFc91K2eroJfQJgTTEVd9lyu+0OdrqHgO2udQcOVBjz
Di8u0UwUGenZlVw1LEjzjZkY84epYV8ak4tCgaZ9fAei2j22Zko8I8zuu6zRxR0l+/QYmUxkMHu7
xkl3tMS3RpXOH4GgzYc0BPnLin6L7FY1xCjyB40mqFnJAUmsM8OP79yULddK9LKdj9Uw+Bgyep4k
bYA72tBA4kljzUrPZZE31rqC1nZjODlNXIjE3GtThulArHIT1utIqo8mNNgzDWaVEyo8wmVscuvJ
TcS4GUZpvfvkWvVrXr32ltVCfzT2Yivz7RrRdAeo590Oew3Bagh49oXgsvh8yeXeRFTcrXxK3gdU
18ZdpExWs8Af3icRtrcqJhW5b21xrYZZfJnyGEuHCpNz7APtVxHikkyGDhgsWAPbH0EI8NzVc0vm
rHnbQahhjW+Kyjs2M0whKurgij1xvBN9THoXWoKAvqlCrtfGTvgVdby6jiuR7IeyHA5Aerk1fDYv
nc4t4DkFSXbzg+Qsalfi8BhIW9Dph0oasRMSZBZheMJ58yKA2a4oNZYUmMO2M9Vrb3B8uHiCFDIm
EsigugWG6lTznVUhB6cIQXzq5vETMajYbIzmXkXuFbSvjFkksZskCnabsY/y65b+j9mnwymvRMdh
C/9sjpV1nQZAe/0Fzj2ZmUFCpAHidvbie5B3zRFZcZ+w6GKsg8kOQBP16tHL1GmY0Q5mvJtXZoIm
lPz5+pSk9byi1KcEjBj/0UJ9jbwUrVtQE2PYDM73oXRPbWZaLGlIprUj223tW2I9KfdimnL3mXrb
XM0Q4N6icZkzNWqX0lk+tjF5FkjoKUgHUFbPmJuSO7NOx11ADI3fkI4ZjQaukKxtyOnVr/T/qi/4
AnTAN4eLZJOvyELPDmcdzLMLgbAo5LEw0CoPsUF6Z+WKHQGo3kUVY0RxS7u65b8ENOVj46FvUWE7
ZOLd9ZKD9F4c3PQ4Vlc0pucVm1L3Ncoi/8mXqjxkWfA05Sai6SEBcWNSykEMm5tVk43pVUb29bqx
7GPsaOstNeNxB+XGJHvN0psww6Y1/rAjooxejQWtwmSGJ0lx4T7nrrevvanB15KzAAOd1qvEbyNg
NlH0MRS9/TwJ17qOqkijWqjcB5FO+Rrmnrt4b5ZTk5jlvABK7sBd8gY5tbuAunDVqQ7g4zSJd82o
Cd5PAtW9zXkMMsDUGeClWrCsiRnvRZXL9SQABzJAIOVdkRAS+BT0bpK/5vNUnJKxPqiiLfOV5xqX
zZxPt9q0n1WG0ppXcZc5Gkw5MzYKsqC/rlwvfiyLZp1NsKQKlsB8RVRqdheand4UlRNeyDlj9TLT
beoRZVc4nXeuhAenLR0ji6FFqY/z3EAgJwOvpkYzCl448kREMuXnEqJRs2pzjeOvg0EFYt7IeY2Y
oQ1YdlT+Utmuv/csGvC01hq+WFrQ0ugzY7oh/LW9nGlms6sLhox0hC4vTqSmm3deQP5iHkyHeMBx
EcriquQuX8h6JGfRbUqGoyNWnlGqS/q+uI9kfsBlGb1g1Fqxz3klmaVfV9Ae163whzWafwDow6Cs
l2lGH9nYwZul/fe4a9qvVKzl11JWDYuWNB5JgDR2ztAnWxWAxp99Kha8TxZD70jpdTLFqaAcmg6D
TWzJyXCa0d0MgSmDQ1BYSFFBiTZnY0xg99Zz0Jxp36Cos8McdHwPuplwDsvLv1ZVXt9Caa5u/Yw+
8iqbWUBz1HXfSwlqv5Z5CjoXj9DaNviDLSqAk9flzT2GwnB86ah4uG8Zm5wKSAhfCcN3jqUI+aJE
k/jC15LemS4tIJIJDcljA6zwgfqYnSncCfeUFHhoK7wb36Fr0kQgU6b6KNyaroLUKv5qytx6K9KO
L32Do+9G4ub5Spg4m3A3zoxoLXQsv+MOhlWJaTAKtrrwwJ61EwuDTKexgaxOFsnOjUY6Gj3KepjV
eBkmgijL5j71sShSYzbxV8/y+HciMZXdBt1yseQcmjxGtTOrYgMDu2i2OWDacFOj0kI+jfWiWuWZ
W8uLTHuKfaNZD1aKmBL72o7ilb+sjXAi8WOk/bgBIDgbe2NeSgDFhJQI8SWsJE9x7mz8rqJoJYmS
u2RoPnVrcH9E8HQDXpCkz5aIiMQjFaXvOWrfOkSIjK4DIvnHxfQGI+lXDuPJbK0l0mPEvnpqVuwn
mj2E22TtYKUs1vSCuPRA4Ot7D/1YvS8RSz8tygLQe3UxFQdh0QU62623pON42ruYATzceyOKCm4h
89Y1JBjOrwg8+iGdQNJMHCb8vD1+kSC9igY1fAw+vdFVb3sCy7BhpQ/FPNh7whDq58qKgtsiQJC5
FiI0H8aUhJHDRBs+Prv9knpgDya/kaqcX53hvWSXN0+1wfyvwVPKPeHdpfefzhv6MlzFwVD88xoT
4feM3Uu24sdGl0h75XuWy5xskr5rGWBEC1HOhNE5rUuT92dF+IepDzX9v9NIHIi54jmkovNSF2YI
KnCaKB2zFUxObeZBlwbnb/HvGny/1ujJMXPVYY+sytaTLs/pgOOuXUrIMqgxEZZoAx8tWDbbtmzM
EzPp7gCA0LmtIB9comXKnrROx8cRUuq/xmD/X4P6Fw0qSjSL3u9/toY3r+r1f73/CF+8fq3e/8//
/r/sndly20iWhl9lXgAVSCTWW+6kJEqkZFvyDcIr9i2x4+nnS7pquuzp7pqa646O6ImYtjaSAE6e
f/nO38b/On1T7bf5z21bv3/Z7zZUIImBieCF1oZ34YfX9Hcbquf85vD/wXtE1wKuN1a+f+ATxW8Y
ADyqF5yAFTOW//9xoUofHiOqncn/YuJaY33/Nzqpkb9/XvXS8qHVIarSWRB6ZCR/cRtYjSq5VTjq
gFRGTLNUkv1gRP3EHXsoGFUmHp1nRIjwVJlJ3B8H2kgvcW0MxT5LhR681cAB+paK8SDVk6kmuWTV
FJBGEciMCzFMc+9lpQQv0xAKmQyYp5RTyg1IjfBlskrn1S2HT2Qx0Yry4gXPofPcZbRttCp4oZQv
XedlTRKocvWZwREesVOZLg8o+Jxv/NQXVxjMctXVnfkaZCJ1Icok1rUsSXO02tXOppNtas0Xji65
GtvxpjNIgXYjDCGuIeCpbdEawXd2Otww60oyAg4Fwc9oSLk9kAbmvDaIbruMpFkW7au6vVDZwoNU
efFn3v9kbdDmb64o7iEekKnF3yNKgvZOix6fVWqvSRXxha0zsju3ypo9pFswfH0Y0qWJ1mXum6+3
toFbkgJNcznwSF6gQLZYzg1AIYvAZ0cxN0e/NqEFbEwqDhV66eGsqOazshWK23JQqd8XG9pCjLe+
p0TB79KiWLm9FPfKbwNzPyKhv+f5zKaQ5a94VYxAZHMnk++WF1RG+XVufOduEqxp0AxPWTzFX428
nc41Bpr97fej6ZNMBps3PAf8N5GQjjejLOhb81yvHHem6ss9FSADNJh62SUVLzLloHBrFx068jqC
EJEv6ORa9R3ty/d0T8fxIczJMB2YjJXcxY4HF02y4wNQEy6GPupmp8WujoOyEfG6dOh3rHis15p0
v7sT9UwSjI8KVRRdwWfBr0m5QFCBCG0lnDAp095SOec8s2/J3ytD5s9xrebXpo5Z85WSgkwCIbtY
WijR9APLU+n00R01q/GHdK4lJofZIZPOm+2T9HVXWUdWiyJZxjGWn1tCvW25d/CBrjKn6UbOnB1d
4Wm9vBHeZCtjU+WW55b8PnIOr9ccD4tqJeSCbBpZaZLtgtTs4nOWV3yvAE7hDtHQonPVpqSa8Oag
CEFtuyhrr6SxiTctnFAk0LPN0pnhQ8E+jzroaPT3ogsEVLdYvifdmO0Ln5ALRKAYw+DEAc3fZ8Js
n7vKfnW6vL8vHPMDIZ+ZqnhSe/Eq7ReD3F+WPxRRuHSAcVx3l/i0W+BeqFmJZxzg2EvTod776nFZ
8uqpdRewS5TD7EYCuQSlbHHqozIAbNygbLAOOCwYbLb4EpZTbDcMiBlrofWYO/LdJIi7Onh0mEwU
WbuRIsmV3QKsLy1ismtYQRQBdMO0xbPJJskEwbTux9bYN7VsH3oZpI+TL7O70hidp86JrO0QDx3/
0GvNfhUVObAo3wjIQwVN0m/w33uvA4PKQyjw480qTbn1V/RP89YvNYpL6UpEi1QAEyc5KN1ybfI1
6AYBF72RQl05YE6m2TmA8802T8RbDsyS009WLu8mZzbBtjXxmboJBfqurt4brjPvrYaJbSsp8sCM
G7GR2pYwaHSfWGdvSORCLupLR3ApI30xXI/mZnBdClPCurqQQms/BPz98miH5LyPdVHR4u0ukTr1
VAWsjdntF9qYiXuvihJVY2U27EyWGNgcNdWsSxSx3xcgSGDLmU2ztaWK9G7o2ByuB6VJaKmFQCfd
mg6XYJj2sRmVRGjplV3MBjDYbDF2N965gtf4QlZPZ5EsFrzBOBFLxOnV1ahPi3oiSZqdbqmtW3WS
5dJ1u2ld8j23O0uTdeyhpyI7kfiiC1AsGLBuV1GN1eD51tSiYBVg/zG5rUK2pKDUm3nCqIpmxyni
9gwGybK5HCgGEg5JrqqL2TsxuvGb0NG+PIzmSHYKl1dQnnnaz+dWZdVMEG35PZymMOHd3WaA/4xL
fzEuCYs4xL8bl/bfKhUlP0d2fnzNPyI7kJhI33AF0GVIP+n/NJP6zm8ut00mJY/LjngH/9MfkR3m
pvZHE6k0f8MfSuu8g6MbA6X1d2YjCkx/nY2AiPAfTmF4wPBha03+T06JwKpKP6z8/CD96G3kKbjq
Wo5tTGevpeE+q8E4lFom8wtBxT9Cde/xZEZJ67SkxhLUOsqxmI+tFtxKEpjUaSPCqdmsN54W5mjH
Ut/nkNBIpWW7Sgt4hpbycOCZV+Mm72mhT+bIkLWfJLvQKKdtH3nXVAuD45JsdLjurgSixnej81qO
TbNtDcvazFpcRAOkyqN4hC3nYLNEgExRIpWWJJnpHEBjo7cWNLS/wFHKqE5HxKSZCQEYXXPUAmfb
RR9cu0hWlhY/PS2DdloQTbU0amqRVLgt2pQWTtl8bm2U1B5Fldp0DN9aZC1QW6tepKsBq8BGaSk2
0aJspuVZqYXaOm/YqGjxVmkZd9SC7mgjKuVovJ0We20t+yZaAGYH9MkakIRRNU8crItdkaDrplo4
JrkbbTE1rEYtKheoyx0qM6LUY6hl596gFqKWSJgTt8MrTUH5azcgVGNj3hXBeFlEV1wzZpz7JPcV
hfcYAOlM6vMHBUZl3Fr+wKGsbLLXngX7BV+jfZQt9AcpS0bGOhrUcyON8Nmyua3Y2cwKwCgYrgEU
NhzS6uSsqnx8DQNOl+R6gvdTITNqe6oenatCJIzp+tq2Y8ZKGHvlxdNw6TKX7F1ya3AOnfTrNy9J
OdCnHoFx2necOyfHGGFauTjb5W1BInL8BJFZq3u0NUKziRS8eBSx0X6geZktTeIn1Wrw7VKZ5akx
FpZ6DX3czSqhU4Pq66qgmwMh9G7GH7KzRi/96FmsYzY3XigWm/B9arHxoLi12E5FUj2LrBJnSTL3
ztYHZraD6ce6hii+CoTHCT+hr2mnoS7bDl32CfJccmbwo0e/j+xp21JrvF9GyNayGzEjknmfN6rx
7U+NKZlWUQU/q96TR0PKXld1dLyqinu50ll/XkDYq9MM/JWGYvGCtEYmouNbYjHVDXFlND9ZER9N
pw/n7EBAlj++maP5Co+X37GgxuxK3I6FXOW4zFQz70Pt53xDQd6q2eYKXOc8ANSbuqJ+i7n+9glY
IZ0YQSAIJ2pVV15MhBpoGYi7Bl0lacCMiV7W35yJ9XvYV/Xj7TdLCTP5u6EXfPscoPMlWjSu2FHg
aqis8C/2pJVEoyu+M4/bTKFl/9Km9rgmnouJLNF/+G2vj+Wte+dNBf+QAcc6OgM3kQ2ppnlLIRnp
itFOP94+aSm1lwuFFQFUWjGz3k0mULW+HVSPYw3tFpZxiiSMHvWe7Zb1YSy17aMrbO+iHAiUlBhM
V8EKbKMUS1wr6j0b4DRvak9n0skotIXUCkf6f8ai+3oD/ZVm5T5SRj3fAcyyrqGZ+texMYptzCcy
A+TohB8DS+P4nIKeeSwJfKMBrKvy5jLb5VFsPN+wdIvLkrCJWF5XeRdsb+9WMRbVcxLNYH9bujE7
upEGf12lvHKzZzv3otE9Y+6NUEQXCFH2ER+gl0986hmdVlhm3nwU0rXVVMm6TZczPe3noZmfaA/j
FMpqc3Cqj2WCAFi48zrwH6yuRwaJnuLBzFZ5Fx+KVH13xuCOyiLEZhaI9ERfp1aybI33gJbfR6p1
N445+fcufgi0dgcWn8H5eK7WvlVW147nGJVoOoYmEuFeWRa9a0Uqzu7APZzelWjjerVcC4+wSFLM
52QKGF7TTRtWJ1l64ZPoDDqsJyvd+VXEoXIkA713q4xxl4D9dq4zNChseIdhyOt1B0g4piZBfIUn
Q7mn9Y0OhuquiZP6jrYhyoSsAhyJ5XxRojuUvnNBSIWNOvSSNV4UvlE58toa/pe5J5lH5UKxgzTA
sDmX5KYKOW/QGdi6W4pwee26UONZb6yHOF2+FoPDdgu7krZp7uoOIkra16fAy/bY5uO1w5lnXyWu
2E0N1MR0nDMisOKdO7PjZMd3zKa5oPjOkoeRm/DG9Pt6C/wQnHPQs72ne8qoqrfG7DFYlZV5P2em
d1J88DF7uObGIdFuCnirBuiXXszf4cNc68T3viUWkqE9NuZHD40TrkX20pH/+DTPhtxyrbegohp/
TUESfg18ASc7CO1mNSwL9wM55IcoXSS7PrpE16DFLUDITdF+jWfq9M3Sn894z0YyrxHOlXXZWea8
KhfVbymmK+8r4Z5z7vkXPlaUu7iheJLLbG9HQNsVq0EjPWRlVm/s1hhWrbDqb60DKHQprONcVBnV
OPWnPq+sTcPpfpOK4dWkV4rKKJ72AatXcjP9F5Ksb9RB7c25Cd+NnJThHmXDykEOXlegSx+U7bwL
59Jcu1yGLKLL6NVPeQ6Xrdx0uDvvIStEW4YE/ytH6OEKSklQIdboGcILtAnMnU+0IowIuFboTyxz
0nephqTbrV18a0Mv/Ya8mJ8CVXj0U7Qk/gcDBce1x13W8rVRIalyoKzCC9PqIm2JKztumKykNtLW
yj/XQz1+LM05/zhaQoL2IFrrMGGtlJssoDckeceiSxDbac9qwFoWfrBy4SveDzhLxKm1QjGBPV/c
sxU0ur+ooQEKqfd9507GoyuUv84k+jJvYkXhmYoMzsBpf4813eYTU4bRqmqc2lrZywi9eeqrM21O
3snGFrkNG6fYhm0DZoVoC10OS5Ju6QcsS3wFJX0yke8cmRSyvTCrZptMebiG2019EaeW72VhWY+i
iLp3o0pGoBxe88GFgEz+cS43bNGRAryRhhO7pg7MW45ZwRSG6G6cTIo11jWn7EOFrX9dqy7FGjOH
2ISEz6+V4xq1889em9N3pGjjoEXNfFAhrY65rNS+sXDD92MGbK5WDxMmRvI+e8CpyAb+8pYqVcES
pQ8Tw1qj1gtsGSg2bb6jxQ5SLi09+6Wi8CSJ572itXJl9SEFjnk7PC0sY1bZULU8uQb/cR4xRzZp
O2Lvyow32QVnKDvtN3CsDCDu3O2C2gVkk8O4MmQDqVclyaZX8MXIn1na8nHlCVo90paKwwKEJU3u
o/Ne1tN+GifKROXyPAOlPEOBEyv8OFBbSrF32civc6G21VBF3+jT3kvIJquhqfLtkKT9djInKqcG
0a77tA2PYxPeJ1FzpVzVodvKT4/z4k53YUrYByeIEWdiiwp+DTLuruLO6w2Xjp60jmFj0y83ptFF
ulQecQnDoMQBNYLfWdH4EfFIiBoTcSAwI1rLvDGfJ3oZsaTcO4wq2TqNisyh9DKFLubXFqpon01p
TllKD9e1cBPM4m00xPOXOPMxbqxcGVYWTPLiA9LDxYAVsqPOQytk/fgcesuyFfPSnqPUqXbp4NgP
6DCvzSKT7VK71ySADZMuXXeNMXlt8sBJHxuvdj63umMltcrls2hF9zAWnrFLxPBNRTPeJcca4DEM
Utdu2Cd74vSD0tE+oYtZ9+hTzVU3iWwtNsKb2fA+0gwQUgbap5/GLpoxjyhb8ryncseAphelNPlk
TQupemCBFSLH8Kisc+KvNjU3fvASGN2kO1TvFr2bRUX56lkjIMKmUGdXZOu8sr/EkNOwMCTBiZIi
t9yynmboj1CcPptoq1+9zEnvx5ENi+W39kECgDkqaIsmGWRz1TDLGFgLu+xI64jfMiTY872NWfFC
/cjyIadZ6KGNiy8cQKNiW1kNVZJjpyWtEtRdUsZfmqLgqW80xVdvcPU9K+y6Xc/2aqeEqd4YX9yt
hVHj2oXBsmYGusokdR5lukQtS7Jcnkw7aDbevHCl9eX43u3H/o79Vnm/5INPPnfu8kfdOUgniy/j
z/hnITmFaTLtChHzKDADhUGHo2HFHJAH/lc/MrlxDJEjrlgz/A8d0be3RRbl5yXGs4abQdow5UuP
tsbeHMsXdmDsHrUPEipRtWu5MW59sRwT7ZastW+SEp/sDJhofBPaVeneDJYO1FQ8OOlYoQpXfIQi
hpL0ZsYstS8TjVN7NIFY3iybTM/awTn98HNK7e1EVBu+Q5ovDp52firtAZ0wgwIXxG6r/aGYEO4z
BTCpjvCOUjQ9PEXaTyq1szTTHtNFu00d7TtV2oGaai8qv9g7Dn6UtARxtTNSHKv5zbz6n63PTer6
i62PJRwdCvrXItlDAqG8V8lPEtmPL/pj7RP8RtU4Wx8qWVytgv1Bo3F+Y3KwIM78qaDFNn9zwV4Q
YMNHZWnZ7B/bH5fuFr0i4h+Y5FR9+++sf2gv+Hn9A3qBqKKNU8pnbyGdXxN5Cptio6l1p4UBHmRq
To0/SjKm03lVu/bwZkaFdzYcp7pSfF2eaXyl88MvTLHm/ptuOfaaz2mXLfNWQXd6jBFispVrgBML
PLXHbC9PXcmhHM9F3Wwcn/31qsJ+Q/drNnqw+pz4bsjH6t6MOEOvKiu/h92ePVEu4u9xr8b70Au9
PRRLuyPgZIQbkgvufklidcyoR3nouW7I27YcLmVPhmNVjL6lyZjuh6S3KmythYXjxwsR9OOe06Jh
dYehrMJr1dgA48FQTMeeysVsIW+Z5f4DEMeQDezkd1v+QcTa2512nAzdxzGciBMIGgnMNb5BMvVz
aB8yZRlfxko1eAqTgFtd6bM+LtS3aLLCZh0XtXhi3dTvOynVlUmRQl+ajakQyFIej5R1fktZ/65T
J8VnmFNVTnYqcs/EYXD114vxpXTx0K5EXVlnY2lKwIHN6xBMzTUdLXefxf7wLq677hlzNGbz3FjU
Zzuk11kZWRase8fGauNy9OUsEyzUapXH3Myg81qaWhU7QQYJT/OsmhvayrLHD3QDWbzSZf6ZHsfu
EGggltBorEVDshITzOcSOadMdfVJaYxWHebDmoRIi/3MR/xjWsUZZc69pXhTYXDhBgPHxavU8900
pMtqZX43C4+i5apw+UM10qvVdC+hOV84DeL91IT5S1UiTWVdorNjZc2ENE/cvwsXp+jGuHHE4htT
DJtCdmw0aIzcCsyx/sYfm8UQ7mLt1sgjXNfrUZPKck4yFEYG0/g9SS1QZjWgSw7nebvs6zQunxLX
gYjYzN49CxgSQcvMAVb5xUPdGem9daOmMQNxK8ZkA03N0WA1BhELhzq7ns8NsQfqwWvH3Xsax1bV
ZnFYanrl8RyBa8MNKs5L4QSXKJyZeilLxM9OoxmcN1c5Zxpahy+lxsCZCiDceGPDDS2YOFsD45ZF
s+NSjZELNFDOuLHlwkZz5gKNnGtGs0U21SC6YdFMumHOxFsXEHFZR2VDgKUvG5o+TWtNAEd8yuj4
Ai43d/O1Hb3cP9gyG9Gg/aA6JNbcroIbH4/aPb1k0Ng8OZjxHXZb+3PvNjRxCJsP7dpTC7C9qPQ/
pkTzHrIbi2/SWD5CDUxh843WZ9/IfbWG+Pka50csPninEvuzYYL6c2slHxBN528OwiWrPCGqchv6
YflKvAFWYH7jBpYaIdh51LVjNwQsyBq72xQ32mCHJ+E+tqZuU3fqIlo6XjGkcD0rjSoEPWVvfY0v
LCwSBUi17WbixLGx44Dj6tjhPifNcKKV1FsvNx6i0mjE6kZJVCT81pQTm1hbgSiyMHQYFzRZ0bhR
Fm1PmW+WRi8uNnfUwTKpzg9ubEavA9MYzbKhQUSzG0EWdFcqdiE6hhrumN04j43oYD4yn/XH8EaC
JJBVfxw8zYe0NSqyMQOyk44GSNoaJVndqJIsVIanWaMm02yJg1V1I1Bi2Rh2hsZSuhpQ2WhU5WyX
4kGS7im26O6wLKUzK5pQ8PU9xmB2s40PUHfjxiN7cstAmRVm/YweS8AmC8Y7hc9nXeRZs2GmOtn1
3JGHLfNLwHEJsT0Jj2nGbZPMbLOn/uclQmDet2oMWTDYguO9ShQ742zGEN0N7rbBAfB1kcNUQOF2
mw2Cf0H/azxYq9z0kTxNkQ/9nc0Bgg2YzZIh+QDPJi8P7MDop3z158zlxED0TXTdK3p8mz6GU8gK
KkjdR5GO4Q4mgmKcys0rnpToidvitPf8bDkiJL937LK8NrhHrr1oQ2sFLSB8PxIReZWG8mmzR+s/
xXOUvfdLl9NKO3JZ+Uld6sL24gksV7NrI0qDuySzz0FUcBIcFgvvG8nYleCRt56KmVWwFfS7xvea
dCMZAs9pYPLruhnwWtqneWFyo+ZSDywYmuzU7htsHo/L1FkP1PCFFNfi73u2feUekdHHl6g3fLCH
Qxh/kwuFFBi2+0LP5tX9bM7hOajq+pkNindEGTa/1Kxqj+OsHE4c7AWmsFk+0kE/VWtSDcshEsgI
qT1bq4mGqm3TUcqP9M/9qE/Ecke6yNOqCcuaMX1q8l6tnMaSj2EFJGY1iyy8woU4VsQeHnCMkscp
gW9yrfX0ry9estev54uqdO1kutBzQOXOPm2U8ZhlnLE4M4zOBQ0p/hpyHjokWGgM5uWJAlvH7ObT
vHjzBRvjuA/mIDgOom/fq7AqngZU0QPXE8UQJbUWbIq8oOAtYg21WuaZ4giKMcc14nlzIWSJyINy
Gqz9wBN4ZxPzQE+4TX8x/JTFC6Zjy4ORwJA1nsvA/2KSuPoiWmlVK6d1mtekz+OPJjr9sa2Mel9K
osarBLu+pivHPKSRrZ21NE1vlwxp9hQG1fix9jyyfp1w36wq8R+tueTKAwgOCynILS0JjM6yVcqy
qudyDl5xGXKOGGI/ru+atiEizX6NQukB2sRbYoQZTsSgbZ5IqCbtQbI1NFaL60KOKFLRmPeWyxp8
XweiNMlyAdJArS7p6b+vrGV+VgBbJixb807GkBNqGoRYJZVuyLFcy0NWld4R0msLDCZG/OrU0kk+
oWyX5Xq2MtPZqpGuZnwh7tQs7oMQE01xeyqwErM/8ZG1FJL4QJii/QRg843Zd/qQZUb5JR0mkBrE
RF5EE9WnpkleQJvO20I2xdFr2nrt9WBnvWq6ujlukrD/bifxp7Rz3zwOiZ9lRWn2ymZTj8Gof6Mi
Jz24np8/NcTtR7sw7nlzrJWv6uxYZl3zXS4OOFFKrDNcQw1kbIwcSX5AWOgu0hlxA7DWj+HNKHr+
X3y3V9tisZZLDAmB/C7Z3cL4kTv+j3D+V0co23Hpo/nXR6hHxuGq/OkA9eNLfj9AcRz6DdGbMwBY
TspZdZ3j72coYdFaCXbM9x07YPvsonH/YTJ0f2NQRd/mHvyH//B3Hd0WvwUQwHAe+q6Nno4y/ndM
hpYOp/+pcYSiD8ohPNKSxDnYgf/afZG1PUVj8NGf0izgtL6WQh+oVESqJKD63r7YbkNOp8pNVpJh
SLEVy5MhcdcZft2R1mTckvXKy+iRb3mOdPIK+pzQ4QfHH4yMlTWg21U9lNmBonxzfAIbYH4tTDDD
AJBaFJy1EtTMsJcUFa3wVQzQathXgY0tKW7SE7Z18V2SQqtW3Dv8z4aVkYhx/ejkZaz5qyrCLNN5
+dXxx3BPtfKykZxzuD0nFZO9dHuyPRhpkLTyGjPewlLlnWcan/3JjTcFMQN834F3ppw2OSbLkt5P
GeRvb3D6jyM97Fvb5FZDcb8bXxWP3njTVtP8NFBJFmy43RJHloiRkIv7pfNpgMvrTWDGzJiYoriZ
R2s8MO7nZBy6dy0prPTsYCfftEntPVINxEluTiYWNLlLmy/KHKvPMJgCnqpml8zPntN11IyG9fwa
zlW50jtEwrZIvc+eLem3bCvg4GsAQsMxccP4bhmn6ZUTj3D2rj2Zx6iUwzZwMxZ4pkgLsfOob4tg
T8n6AxkJSkAilr46ElGcjBZVkFSZT2tUES7+o89ZF7M5Ef5mlS4JM4Q3saLfpE7bqo3L+vut6zES
PPGXWCaEh6GYNkEOlJWbqty2pnJXhZHG3z2Vs0qPkuzQJna/G6FxbaAI9Zsed8WlYeQkvRBn0caa
u+qSuYU6zRUSoVk04mI4wbgtBxAHoU25PItnx/2KMCo2ExfNmU3BojPeVYETPZrpm9k1pVHf23QZ
zw9m2ZtefbIye2RLFzhlC+yFFwLUTTHEZf1kI7pVRywKArKGJOhfEkBMXFIjRWvf88ik+WAVl9he
4DwKemM3oFMSeenppI9Xixi856IuQRN5xhTUtHQPSPVO1QIdj2kaWCkzhs4kp0mbweANVae0ClVw
79YRLdIN8/E6zT3qDXN/5lkwOEnUrhFpqjNSXnI/lF1Mw2Y5frIIXnA2a8ce4bDEuzJFrCHWdFOX
tHbkrhkfWKrCACc4CLOjE1A81uMSGd3BRNfZlVGSPCXTLNhv0nWecqgNC67s0PcoNKrnpNuQ9+jH
NevdYbhfAGs0G9JWcl3FvJubeigG/Ug3FMl9A5fIk4tFHyta0Rfew7QUI1KZY+5V5vWbOJLskk3G
JR2HoTI8N7zkjASYD7shDIGWOMJ01abI/fHVStpqD8SuiU622V4ZHdPlEvTGF4MqLa4pw62mte+k
s3PuKtmSWG6IgNJAMFevE/sMyPJzH9NI7VvV3g5rRce5SWMVW/2SLQB3ovmZVDH5DJxEXbNO8Hm6
AHFiazx6aSip5arV99Gw3zm9S9gvcdrlecisoT5gLRI4D0MKHvzaEHeyheW1IOdfICpxPYZ2kBbb
NOJuRrMGxY5zk+6XSfqnFKYCR5LRmKb7SYzVnSfbctnwk7K974et7hoMcRbwXlW7qF7SjQVW6gIL
zxx2sodlQlGQdYehLqCQNzWCrZHUANBAHhPCXexkg/lCCykZca3PiuqDT6nZGe+kyoe31pwGtVWV
bXOt2dOAKRLkVCFcozuqSAcMcWq0WzemUOmOf2BjPKDzHm+H5dZ0abv+UsDvaA3HKtYzoiJd/Omc
2wgfuILXVuuy3HZcFaEUDPVwIFQqq23YwTLvVpVT9PZDVda9D0ieTYiAqPWeVPwHm48wPQvthGkm
KE3rQDupd3GRKzdRF+KbsAgZsu/2TKzInbXNDYf9F6m/6VqGrX0GadAPq0J5hXgYVVU9LB32g73f
VPK16aZXnC1DsOpQHMVGJGHuI1qYXbvqh3TqH4qalOQyi/ZapBWpN0ALU3Sh+y5U1iq183mZD4X0
Os+h78wIo/CETWH0zzZNBLv/rKT/LytpRgz7385THz61Mfp19/NM9fuX/WmmCgRji+v4gdT9nT/N
VD/GrJ8yG2yxTYtSUZMvsin65Vf4Y5wi6AFYV1IqTsYCTPPfAqRr1+E/hikbcLZLXIPFtMvNS/sk
f3YlMnw0GFR691KQloBIlEy9ho9po/nYtB//NGj+k66jn3fgtx/GXMmEiPmSZl/nlyagyJlsYlid
fYEEVb+VdmW9zLgW32dJx2PXZYHzFlH8/SkYUnX4f/xoToO6OArT568NZomRialjUXK5Zf9AuXF3
wvfnTVuvd8WL9CeCiTz9dc6PcEDy4zTyLzt4f55Z9V/uWSSwEBf9gDfu1x9vSeCGQZrLS14YTIO+
MXBTN7t+qU/E5/lxU4HT6N//yRafkV/eW34oHxVa4qh5osrs5/e2rMuwj+rAujiQKF5KALhHq3AX
YrcUTL+vOwdXWKJDaT1MuXYfg6j5ilObXnXD5XVoXGL/tRfRs9MaWm9blsX+RJkja9LQGUxxB+6U
qF+CJRJuZq1Zl1NeSvkXxYk/h4p+vHaI7PSEWjxh5a8Vpv5Iu8jkxRabVIPPSp/bSNzI2DvgauLl
lnudsr8sNvvZrvv7T0VI4lzLhcH//fnFw9PgpZOjxAULjHgpyT3uG0Ky38FSNRcmkunq2LU4U55L
Rcwc98n+3797//vC9CRlzzSlmwGfm1+vlSEIdNH3JC6u4U7XRF8wc0AbQjQ04q+I0v/kgyIF7kJ0
c34gCtXPf2s4e11pmr242GQ5r0YdY5cbEoEFL5Sy/crxwv40mK6+OnV8s/ZGLhaD+DFHMNSgv/+H
S8JokuwV3Xe/fmot26iCxgzNS981XCS2F+bVvdUh0K6SMgv+HxcJbBl9XfIfTpW6+vBPtmxRp1QP
yMG6qLYjPjvHxI/tCONp75nVXaGoupDQVO5YovAphyUrzpCwCKTBf6KiRKRLdWe4w3SNiKVSOWVa
kAOzIdgKxO6nOCYAw3dNucocH1vvKWAyzX88m//l3YWY3v+60nXuD7s7j4qAT+zPf0SaR2Hvz4G4
4MJlRbp4Sh1un5ubvVQpGjaYWrnlzryAhY9VM0qWHJ/iHECdnAuGGxaqTc6CDGbyRoR0ofgKE+u/
f2v/2a+JPw9bvs0vC/Dg51/TmJiF3NAWF9LMvCC3l1nUqn4TZihemlz91Sfb+vUqoq6TTzXPXFMg
uYpff2LREYQyQVNexlpWd05XOJ84q+r/kgzbvfYOK+litoWCHmKXG5CkVuM4B7RUZQSsZTl3X2WF
KTg1uQOYBhcBu3VunPozcXuJGK95eNE1F9y3g4fHWUhdz5TQWuTxB6FnVT8yIf/y7eYv+OX95mFt
8j5LPrmW7VEP+fMLuaAOeA0HvwunEzQPYNRqk3oGTgmZzxgtCSuN2tOddhvL4aC1ToYijHcB51ka
CPjeJsjaGnhVCrADUqm3G26nrtht2YGWAulkheAXLkzsSxDBvBqNd+TYI7pGaf0Cv3M7yGHmBAnI
OZorA1dSv+URoA98aU6Pll+XF4CV8Z3fFgh5hV+dhzT0GmCiigwVdnnjVcxe9iiqOf9iZi3Fe8wB
9PHMC5n+eRrir7NTzS4BiLjcJB3P7xPSfwHhT6b1E4oYp9TpdmK19eHV8aj/WQ2eZ9Tv0VNTqvZD
z0OqbWIMOSn7oRU20oZp3Ik4ELLLmul76Sz/M9xnvHpQ9rrsQF66s1YN+0piiM2cGMcQ4MM9DmVy
DNSnnHR9+fNMQgvBGx+WuhgjmfUVjujSAbiIIEWvQlTXTx5igFpPKPDhxk/H4H0U9zx2Mz4jJI+4
5NxqDrYNmLBoy2gQbD0sMPx2leN8aql+S9alz92GEZAb8VDzFGjpQYjQ4NAwNqEsjbXfhjnuVMFx
/N7PvKznySxiiAKsoW9LBHnbKNCJ09xz1mfPEP1YOtTJ5B/tKMGinAXdF7/M3GoVWbGpAc5qE0iY
mcqy1X+zd15Ljhvbtv2V+wNQIBNImFeSoC3vuqpfENUO3tvE198BqnWOdCKO2e9bD60OtapJgkDm
yrXmHHPf+gkixar+mExzeWfAl5zlCHfbow74RucDyWSCgR3lRbiXeCu/FpCT38krUSjw6vgHN8r8
M8JNhgs+jsqdOfD1MNInFQ2/mtoVwh1R0EaFaaE9KmfCVrVh6A1Y2x92YzqEayZR/UKHhziqEShd
hoC9zP3ixR05R+MpJVipcneFu5I3Nj0nP89BJar8UPJvgd2RKAL6Yzj9IUjgaCuYrQm/fjfi0bF4
u1latjvGeYW3N8y1+FnU/FRlGVeaKNzqYkZIhFntDcwDnP3oEeUTglecjPnrbHR8Yzrs2RS0BpIw
unCoGDeyVpBrDc4j9gjsAIPIBGdLy7X+8OE9Yh8Wq8A9SRnUmmbr7SYf1sCqY+Wrz8b6gxFt9Di4
HmbJhQCLz5BcZTL/TOrVPodgkRaT+pzhdr9NEvdHt+AdcdZOgMFo9ca1C2TtbdyAE+EJ9bZFYfHX
I6/lzXHiqC6UdeHbgIhyl6H6vaAIli+Nqdb/qcr9m77Hv71hOQtDWAEExu+EWAFWEdyGDkUYhQ9e
LP7D4ma4Q6Bf2Z+tZKcm7pLhwaaFOHfH3JslBruAd4My1r/x13nD73aGwYp6XSOp4bybULGJusyo
jhikuh+Nv15Kv7XFS9cN/Pb6bothgI9hNTYGDcpOCQkn0Q/NtRbJctii92WRYeOIRnFHY1PcjZCM
LlpOGDgELBuyYvXTkHDcsFYSHsIbtud+Bgel1+pRS669KDQfikeSV8piYFxJxc2Qrr8bW10TMZxS
fZrZqD69nF3UX8ujOme3bfyo+UgBxjCBJNj96VooLFlDpDl6S+dTrh6MtMv5ahvezAztBN5k7tLa
AW99qhrDvIOohXquCk2MhTBpyOZb+O6u3L6yath4uqo94rOan8zUpAivKkC7SmT1BzNudnOdSaMN
Qhyxn063rPQJVJPVqela3vnIzwCWqsgvvWkMfPrba4EDnNSHk5kCObkefqy19NEpLaJdrtD50laA
7rZxa4cGyaQ0pqJC2Z+xS9PmwLbDG6zljJzGM8opDehXhN9yI+bFy+sjJEKVzvtxRoG3K9l56NhN
j549dT9yv+M7qgGRSYbjP/xIsAGXNv4j5tIcVbIYOJTQYLZYBqwTykAGhZ3lnvg41cUaDeSmeiBX
1Ihz3u04JDAsJnbcfr09VYmDyYxSdqaM1Jw2SEfKVdtL9XBbT5GB2yIOOQOSRs9dCwfOI9OCf25k
SCd009sZ16wXnv9GvKn7kmYezOm+MXGQky6IxCXO1WdcTFzTuS74/NdFIMvRY8IL4qrkWULHVCvr
REI6D5yzvjyhst42XZ/6vBf1B3bg6gLgBTcFu9QRoBffaiI7eo9s5FyHiRKUkL/wzQAI+jCjVfps
vZ7nlVzKIpAJAb27SPHEt23HO7neiUSui+4yJSwBSlCjBwKTrkVNS9LLgz+HdBC9av2C0oaZ/l7i
vz0WrfDfEFHOtKI4jnbB4vQURRDQqIEkWvpnbaYKylwqXqThcQbwU44hGIvEy2S1XGRLIv9Br0LY
DOMBv/5woprqvRETHKP1E7ITUSN3DitQSxjb4XrgXSYDAamweEQjjqgJSzfMA460UK/4j8S38rVc
HV4Ls5L8z4rxum1q/MMT/F+DVqgX89kXVfs3pfQgRA6y2LWQ456uV62tR0wu6STyZdeubyd2+BRZ
AjerHhCKbcs48m8IBOexWjRMXxdGwH7ocgCPqotYjpKMh0vaDIlR+7fK2sTc8ogVVg9TnITEok90
0I86UXkRKIz26mlup5WOONnZsjXQwnza87qy8H/7byUyi5c8H+xT1lRkAhP2NOXnYnT46XyIZfMs
TDlxi+A4KLbLurkgKl/XPmw5BvNfwSJPKQIRA+UL6DqEb9wT1wvw51q0HtzHVLIurAtrGwE+2F7v
XWQubGtzj8BldhP9rWUberzenzYq+0NKI+Awlo2d3bqDxy3imQNSGJWN5xjls/f7hkAd7v2qiekE
Hd2O7RHulQ8ZtFafkUMv5XpXOHPGQ5FhkbhzQCYdRIMMK1VrtwHLUlKhEibYcwPmgZVIL0R9uMy8
ukOrCBLdJOsHMiYCVTdJC1intSf+TFMIQZQTUtxBxGuP3HLiRcUOoUoih9q4dcOGHQZkvrWvakr7
Ia1Y7a1E3JMDQ38+XripTWMlPvUTi/Z1BbTJ9yx2FbqgggQi4jAIhwR3v7Hcicdm3YCQPUUWHtGa
bPduU0UtOjeQduD7ymF9t+nQ85hZjeZ1o1rPTwUILULnOaq9+bOm8FMRnxt6BVPDSdq9sUvtdhab
llqItr3wkvlIwEUZ32MTMqtTubZ9W3PkXShgZJDWkoq73RTh0r70CuNiEBmZ/2Yi0DmUKOr4vK4/
PeBrdZ8Hby7umZx+j43QIBEo7Y6KCebGRSxymbIo/RVZXUVaRsMMxeFIDXLC4gGe2R5Bk7EjrWDc
LebX3qdC0c4b4kmuc1LzhVZqWuaDMaSganEijZuogTwQoyg6JXWd3lo2GrItuyY6A6wvx1LUpd7m
dU3ae2VVv/x5dZM6cmYxpMhk1tRJZpCwZHvz3KyL/zkF7L9s8RBSU8G15gSTl/nJqCRdGLpsw7bJ
w8l4jlLJ10MgO782/up9tBSgSzqAEzmeEwtOuy7+zUiNU6wlXRN7mDJhyxHo1xjboWHAcT0oZzmr
7GT5PKp+3IDXNlveXohG5S2TFfWBHU680/m6mYQx6/aikir7WVFjsrv4tR+k6x4uDMRMiOe4g64H
wwjWQX3GXVCz5PWsaZWDOPZCP609unHl3yQ+Tsh1KngXzcp/E7CifqAbAVJgYdnlDMb3usqg5n2b
srkNRcRqtTiJfBl5ZZwzLJF+mq08MzbMQDdQnDDusqjXIQTIAsFbsWMyxhqN6u7jCmyseta9tuER
6kkYPSShkZ2NSu3hofK+lwXlB75t0ClSxclPe3TM7qLqgSeuN/DNqazxb8B2rxVGQ49kRaoVWenZ
J9fFLXziwDb3x47zDdPloT1ACx/20Kakx1mlV58mvt0XYpOqC5+YVYk+D5fEZVZErymUnCQKh43F
GbUDtdgEnoEh4FSrmedhidbl4FoyK7P45URyBlJcFuYecjQWeQw/cs8rxy9xO8yvc4wLJrZ18loP
pMZ1PCGszpx2FkgmklwpF9G/ZFRUGw/tdV63xuB4gdVa81FGyvg+1Jb6kfrD8jOnqvxV5XNHuT3l
2LYcLS+ixmAv1kFgvo4EwSsxHRyuk8KmKdMmAKjcnJU1J3fJOk+MUif5UtR99AztbJy3Q5HrXbbO
H7Wn9J1v1eFrbLjZd2jF/E3qOqpMrmNLwIicWHNwl3A3erNNN9A0nI9rd+bfipn/RTFjMVigwfLf
K2a+/Oz6//eWgJso/wmc+P2Tv4c8rvsHpgPHob8viPH8B3BC/uEocmOYelxnLZI+1V/CGSwIdKdM
rE1EtzKcoEv/e9JjuX9A0nKQsGH9JvQRuc2/IJxxvH82w5TtXVkX8KhcIdZM2v/S0o5gQuZlGsWn
rnCHC8JoShlQ3N3F0oVN6kFP4ZsBdnrqhAGzG3SomczJLjfFdIRzaKRBGA7uvgUR9Uwvwdj4Vk7Z
6PX5IfYNdsxk8KtLNatmPzgFUalzFqsT4xSXZJB0CJct58QJ3banchhTmXJ2o8/EWdXFTPHLwd7L
GJa2xBtgkvaiV1F2PqcYtWpmnZQUhukN/WZI1g1JEK9LP9KqxfKGAHCNrbLT4TGaKnFmVAd6Zi67
iRgSA7X8YoTNkwIfecOPiHrXmu54qCvjMQnrtNsBKp2OrdUwnJ10ucFxbX5ZIJFBpTD1C0IWa6/b
Ln6Qfuc0UEfXT56DNgyYpiS7hO7LHr0SArgYss1zFCu1x5eFSKLjj5Gsigv702uVVWoTef1469l6
72Fz3hqNWe2iscLNh8ikf87q1H0IK2E9hrZlgoF0OAPvYePwiXPPWHb+gH4G4YsdSJb1jUMQzo73
nKFy7e2tXaHHlIbrbsLZ+jJkWX2kLUk3ALC/GOL7yFtGtlON2GLnjjEcKDXZSPGjxb7pDaoaMjMY
dnvO0hOvgBdhKvtXu9MpTFTm04ExSpJbU20VbNuA1vxJDTcoGI59an6g7le7gc8SZGH/FpbahFTa
vupM21tfm+XXdkr1WcS1i7vbi3cq00EkIFPmaRQ9Qaq2SgT7VX7rpUVzlxPswqWGV+BuoBI598jR
HQIUcKUYsTt+hG0oH3VTpYGKnPlGL/XPXqLfACi6OJhUk+hhmdLuPLOvtKljbQkInm/IwaSfIRwy
H0ojfBRW/466BdJx72an2GnD6DL1Zj4+zhxZmk9kBx0S1GbAujAyiAH7ekmjxnrGZZzuDDAKN6iK
GgdWSsElmwC33g7S/MpuO9wZNYgyOZk/7bL4CnkD02qhyuY0pigXcsJe7kFSim5XtBpyAK3Bl8UY
4LuNYR44mDHALNHxKI6mPah0D3uToJS8nKavMYoxcyc0RzN0Jk03029tAdHyLQfK7YuA4+doPo4V
vr/MjM2buqGTvJ0FySNjLR/gtX0snf9hgiRp6TIHrWsW9dF3Ero1ths37WHsuGPMCGOPCr2XKKx/
mhwPYLO5eR20TJGoKKmr7uMc6wXi3WQLflweI9acJ/4GtFqEMt91TXLxHH86zYLWKjczOpDtEHWT
vO38bokOXji30XZo648iMerhqYV0w1vCbmEM4cOIXx1dclYTuWSNO5Ro834wfczHVnzCQzQ2j3KR
HuLZUBTIjIniuGSWmWZB0oFy2sxmpW47ZYWBa1XxiROvCJp6xai5hrETteN9sdtCK7LnL6XpGmBV
uviQeWzvoSONvQopb31TT3sg17S+5jx7nxVIgiJtpgtxfnT1eoSC9KIodjoyXzOw4Y80pbMAPPy4
caa42HpjZm9T6G+YBSy0NMNQH0abbPkRd/btNKqJK5AuC9MPU51U72GZRhPzNkW7eMgvoNEiFEcd
AORkdSLOhgXHuL5AHX2XGKV2FQX0aV7CJcAhXV8gwle3Ircaxk22MZNvWTWS1vjApO2U0e9jpWqb
R8tvrRdPefHWcahMYiUQbut60YfQgHa99fMs+1gofaAVutNF2fB2WCC+5pkHohbiHvZZl3QEunli
My/jXb5E+hddlJE/dV1YexFUNTeph8Mcdt/RjGNhcGPSXmKnFLtKmlguYLLSwgpb8DjDVzYWSG89
CPNyaTAw5GFlLCiKp8mhe5n032XJbhO4ttvdAFb192MkniNGI0fLKMwLndF625YYtHMXBm2M7r2D
4LoRbLBB6WI+FjRzj7ItzZOpXbEN/Sw+OROsmHUAfHH6iTjbqvX2XW3Km4E81MtcugmNuvwpdHCX
ul0ES4hATw+kXPJroPdU0Yr37A0lnb2dxJjTNpcN7R4BsZxxQ7MzZ+uhFdXWqGapoaHY+jauI8pB
EB7bLK9x6SyZv1MyEWfdN+F+GpoL+JUmMBfYw6pqAR8U9cR4IK9v6FVQoaOjPrWL/83z++IUqZZu
aTQEQzZ9Kwp7CEw6ZuTOst2INj55bRcdhym3dkXo3Y3w/vuutO6sQoK6JFXncbKTYt8aGLp1+jSY
nfE4xSk5eg6BfbOSPI35XeSSJzE7GcjxOSEZdOOMnbNXC3pKO/MRH6px6Dmiz/rVzujHTQPX9akZ
ksg501ik4aYxFlcBDErA+TKZLTDysMvRztpTBdjOYc5BwlrocxguEtM33oFaznqXwDRddonq5Jaz
cEmI3pyJHFmm2wuhj42InrMMhOFuGUlQ3HQ4Fxln0O7aVuhnNjKl07YxRVv8JDNlVhtzWJp7CToy
3oEQX75Y9TB/WekvZ7dPxWVoSsIZtTFB1C7c2dkCJB0Z92QTS39ecg3GuD/qwsQDX7BiepnhfOrU
g55SDel5BBtioUZziydvGZJzYRbdDoprgC112mvpRT8aOZAH1YMU7LTX7CevEXsLvkIJXY/lNaPn
1aLHQ9oAJy96s3UI2islcRuhPZwXnGH2MWkXNG3mAudlgoMFUxB0wIQ5rrYubT0UcdDLthYdY7SB
tAl2LnOvOvY2FIexl247l4jUJeOgrTtRRgTEdONwIkF5uORxZpyMpnFWIKIJawMxBonUiqiZbdUv
TUKWDx3nyvMZN8bW4Owy6AMfnUpjhK2pmT56cYtV0k8nbGyOJhplTcTC/8QJFpXFcRHxPG5QNYwm
hsXW7WhK6P4LBHmfyFRf3BSpVyggRrN+Bylg751OHSz8MZCkFmS7aPMmpn/07tCQWuMxwlI6knnY
RYE1G8WdrddDLBUQYVKFI5lwJbb5JQxjEE81WOVtNFgep2N8WaiVs96EfdT37yzeS2BxkS6VL77Z
ULp4sDlibvhGQ6y6mak5abZZHEz9AEy9HZTc9gB5AH07cXGPcd4TyMbjIehVfFsrsEU+2KKbaXDV
yYk9fGmob9Rjl7dDFnT0pjEXEsHj86WdPfIuxl1e2vrHHHrxV5+a+1Vqx72EdlwyutWje9OZlGa7
MBKRf1uYytpK7b73hUVwSEiXyImUvceNGm3lTEhCywi1BUKUOh9WbTMK7jzaZQliC/YS6d/mqdY/
JXpBuoKJ+GQ9Tc7JZAhaCLbzPo5Zp7eI4N1wbzRJ7O16c5GbqC/avS6Ry6N7twLlTKDGmN8GDNeI
AZiLAYTJONJTGac73UXTU+dmLYlZ04zhFtdYldXxp24mlNmyquy9SCpkZrWo26CRY78tqhlUJEHt
geHEzl6OpvsD4dJ8gyRpufMA4z9joIRWwHqe/qp60b2gyMzfI2Hm0U4xtDhXGglk4ubm2ayB/cNo
aC5mEzmP1tJP28ms0dPSOA4M+Kob4dp1oPFwUvsT1qVUOGwrt8f8muVFuZ+cWh3S3ChPpFkQeeDn
0wspQBZTwjbA6pLeJxHT6jQtxrsU8/eFRQILVxHzsLgjnt6Rlc/KcPDFRlMHWZE6gbZFUYE/wmtZ
FR3PemunF4hqYZAXZkMB1eeAOBy1HF38g0HSDM6vEXvMD6eYYyYtuT/fQnICYTe1dvWniuTf5///
5fwvkCL+jwrPy2fZfXZ/d8z8/pHfB38fVwwuNpYEfDG2LwVasr8cM6b8A8OKBL1vIxNAnfO3g/9/
HvQdHDLIUzCzWMgxnX9N0insf+psFElTCF4gGghHWWSIOv9FZ9OQhcupanYuhaxZmSQITIiAAl9q
sx06g8EM7V9cXxNBB1YV3lWlFmrbKtNo/d3S4x19zqvGNIpz1zlWO/O8zK0dHr1wgLE/WKNi5W7y
pb7LYhvgwp4xQGFPdz0Ee0pDLd2J0ygi+D7a911eODej3XTfs2h6xHKID12wRm/tGFMc02UfzCVO
uXq1zBnesoib5eqko5BabXXSl+lywDS/5tHNIieoi1GlwdaxevLyxhuah3S16rVN6H90GM7jLU5u
dCwc4ddSuWxj8txw+wETtiteQjtLwMEQPyB+QRTw1moThPbk3TOvdT6a1URorHbCZLTTh4XT4b4a
8LokV99hevUgVlc/Yr9aE7OlyE/pgF2R7ap5x22Ph1GsdsYKX2M+6zvCRDhBjBkOCH4Jb8fBsQik
whKJnUoE/WqTnK+OyXE1Tw5XH6V5tVRe3ZX21WlZrabL/Oq/nFYrJprE4oGJTfc2c7g5yVZPh2U1
b/qd1GeDCR1ZBFj1DTqrRnJkSpr84H5Qj+nVBzpSCN3HRekRl+1QLq+GURgz5Uu8mkiX1U5arcbS
cY7wotoe5lhbjfKLcfWhOqsltbKjYefXOVZVQsaguWNfhdyNkzUZqEWFLAdi1HAXTwYlgDWBE8+v
Pli9WmINXdR7L8mBLq+GWTuWy3dzNdHGncBOuxprQa1UN9XVbWuvxtt5WJxRQHQbIXYj7/jr330m
7TG+RftfYwRKzOJKgBp98q/Oac1eVJ7Jn5lywuMJC039vWyNJ8+AgA4LeAKXtgRmHArz+787qv8n
zbxlrh3O/76j+vKzJHix+/nz74uq9edP/V5UPUHLlE7lSu51+ct+L6i++QfyaSKRpYei2ePX/1hQ
LecPFs91pZXIRxH8sSz+1Um1/2BSvJoT6S3+yzAX22XV/puymk4qAmlauegtLeS5+NX/qb9zdWsZ
8aTKk0GtBKQLoUyUjkFoTBMg+YKlfiPo9E43vdR6W3SN3olutg6obtxjU9hEwamwY4KvXEGfxHZe
5szMAicxgbNFLCPbqcX8QmvrvZjnptlpS1mfnLXESdZmvh18NZFIFXEUCt0fQ1n3J3hG0UFhVNg5
QBm3EDHjLfCK4aBHAGEw9ewKROZM8lLcFHSSPIDpKW4ku268z7LtitMwR8uelEFm3667M3votGOa
RPeCsLhjqZP8RcYWXu+xs3uavdKp3mMxNAfADMu5G3N/xc47zjfcWTXt1wIOL8aXKLqtKPJfs7T3
bhCKmE/D1Eq0IO7jOAj/1kwtJIFFFH3N445MJziCgN0HQgUTBpTIWdtD64blcUpsalJLP1Z15Z5a
OO57B7IBB+JRAHDzz1FJJ7maswfDA0jghgQYgCL2gpwW32bIGvVMt4vQ0cY2t+Zi27jj5+40dItx
DI1FnG2kzOe8I70tkw0zdfxHu3Uae9s4sRsHDWlyYLCm4UUkNf1XoSCWhIU6oAIv9rLBjG4u3fJY
j7K7dfGO00qXL85czN91NjhgeFN8km7WPS4ZtNhJO3SNhwqYRT3rJxsK77chnLeMS79ine8OorbS
IylechWchG+jlwBcS0PnB06/TN8OWqa3kcIkmnv1HG9nlL4BsbIsvbHnHTnwtfvGkclOm6RDkndF
AU+jnuZ6S++gLadfESrX/WKWtCIaYkEDnhv70dZTl9/otH6NB5G+4unTn4aDKh/CpDJvSUwYLySG
UcxjiEVQ58d1UEfwzchboI+0ZPQNTKe8JzWzus0n8RrPlBvQ9+zmyI6SPc4onc6EI4z3smj9i90k
DrU1uwKR0MIo3ONg0FrZI5Kjl+QPNsRkoiynMwapfVpKvFKUIoQ52DXKKNztMR0uWRz1wNG2BAHL
8c/G1bZlwlfsgEpTiKcNLJhOFJgsJDumYaijrzD/xgjUbltHfpLg5oY3KG7m+FKL/IsDNeMJGSbN
MKYcp47NLJSHvLeACW1GuuL+d1o5TRJAlFnul3HuHrqBTuR3v7TC5cYu0YZ4/fCqmMw/tB4hl0OQ
Z+4LUwugMe0gApAa/nmqXFlsfHLR9K5GN/tUc4ZNp/XAFx1rjqHtqyR0GN6JIiChj8kQcCv3XHbK
6wx8wKk071koue7FSCZG6KTrmbKKQhMmfkMXw6yN6K7RbuF+McGbNy1HTy0ey5lj7Q/C0Dq0mwtI
S9PfxNge7cAcYOCi+802nl9QHa4SPKY4Y87g1ez99JtrhNo4euWISEHBnga3w5iXBKqh5RQazvEq
EosK/61Y1SAZvhTuFFOL6CTiHpFOyenvoexd+wdd3D470MLEsehqnBU7FIf0B3uBYzso1Sq+XvII
GUWxymWI/0bsm3VrsPdV9cDaxyv2GeNWKsQO60mBtplAvcQvq3vX07JytnoAUtpfMriYJpj+0dhE
7uxG7PWlcz+vDWW1YqdMWv5MVBXXGGFmqF/yFWzVwlXghAZHyaQV70+H1LacWwJcIccmtDUICQ+Z
YjA228rBcg+DkPGBLGjvUK1YrRK+FnxkSFutUNXNvOK3wrqmlJx65Du57bmrE3FldQ0rtqtPHXn2
IHmpFenFswrdS0ROErQRatq9ueK/aL+ngSO7RWytiRMs9K/yzo2H6skbXeeud5rxQ12JYtLyLxpR
wCZvWrHLZjs69G2/rBzCITc3Rbfo741uvrFHtXeOZdN7dVGLEBBtovIxG/M5WkS4n2Esvyo76h5t
7IVsDigx8sjt7gmnNWg4MOQZSzP8Do1JPehQ7DrXiU4sneERDJn5nrki2XWF732MoiHyqw9lDW+q
mS/u4i7UkxIccjOTpTrp9CtwKXFWTTXe4QzY90aJtJnWQ7rtLVQXm3S07ICc5eUBm2kaEBJ06Mjy
eV3cqj9pZ4R53JbLQY2Fwvstpmm7wLglEIToTtcGRblrkV1eEosl3kcgs6tbpD0Tr/+MSFtt5JoX
H5Eb84CfdNqOS5wF5ExHB4cPsCe1csw3YrJjlsbFfrespmUvVH79OXqyvxXuIn6OcND2qse4molQ
HNFIWF/W+EJ6nxUnHNFFeyQ2zFDKPr/LGC29DTyHt0Pbtw8K1MgNQQQl+RplekNAAI4jKx7vmBsy
OZW5c8yX8SsQ8+SGEMn4S1gN5l0YotzDGOtQCRBDA3IMvllVWOZdx6mgpxZW3oNCBnggCKr99NwS
jTrhtfD0eywvCoqZXXjOCdm2j4s9Xi4izapvUxdB65gLM8g09DXakV9CgAJ00UHc5iUjRkTaVkBK
UOvRYjXe5zI0gymumtu59PXFMjrSQtj9mx0jC2jDIrbTDbybV0MO+GwGhHXdxkY25RtQHrtxdvxt
o0wwUL6n4YNFst82BSlTCLYyRwBb57n3FsvjoSaECb1Wov4U1c42NOgNwY2sBG2bMQItR0fH7jMC
IC9iy4uKJIpfOkfXyeO/6/v/W32Pz+h/ru/nfzZMLCwQ/MRfDRPrD5oUrEECex1ckDWR7D8aJlTx
lpQuNTKCCQr8v9f3tu/wRxJH7KqHwCj4u76X6g9vtdXiLDI91/PNfynHTNhXk9l/2mIVKZQ0bejp
yFW1Y/Fa/yzwmcAZ4Hy58ydUiV9GwyaxMdffPcZBd8z/myA2aLHPALOf3Mm77bp6fCdQuHlGVfDc
mG13HgBcwG9cVzniBE46tJzwMFZp/EDZYXwOrgsehETF5mh7oQtcQEFaeChdpS0WW7i8xcZAw+ye
GJp48o6UI7N67XJGCIziIChahzrr6/qWzi5ORQYkCPMYBfsjkH0O/ESE7ZcFNy2qYKSOzWvulT2k
PbcscnGO/dnB5CJDvw/c2LS7PaNcWZ97LCE5zvIy8zg0MLTCoJKgbhZnRmiSgUTUUTgtlaggf9gw
Gg88oVqdBhR/IHkznbjpCyUC2by0V7Ox2cXwlT/TMvR+rAIzd0em1UzybhtX5uigCVu3tXlp03rX
8xa6QzZX8oJNcaUKOoSkh6mAPj7hcO/2SNg5ZC1VikQOLOyxIMT4Yy4TprDYTvsjcRBeMNGk+9Cj
grBgRfGRIIjniOkZX9aQ3jZA8o+pnN7SKrEOaT+lG2bH0RGKGi7OpojiL3TfKQk0aBXXm28ru73E
0zB8gToG0zbvHiw6sThDRh/cbeR87+dwYiAwMS0Fli0Jgs9m64TMFt14j3DUF+nZ8+xvKDjBroTZ
8ExnpaOaNsjo5ZIaFlNu5dbToXNjdw/F/8DZE5Rg8ubkEs1Z0l+WrqIWy6I7yjoXhHv/QfMYwXBV
HoE1MiJKrB0wC/zLunYudW2S1dUsD3FEHFgms7cap8ZuaJEaZ8X4E8mnQ7bXEj5MfuVs4C4wWSIs
fdOhfc4wJh3s0b5Ode9lCvRkHNGqIc7HCjCN8Q1Wg/bW6ycZuMo2T25Fjkw5E5Q9GBEnzhV4Aw10
PIDnT76Bw5vPc6t1UDfKeIqYvJA4F/0MoUzfK6N/hqYPt59J8MGsKdDLpE6OeJEcAnBNUo8rTZUD
1G7f03k9sS7E+7aV/h4EnL1VseEfRmdCiJkVpz7uq13I2rHJomFN7J2TbxWH3u2o6O5FUYuud53I
VRXyla7s13kswcrKHPNAsFttPDm/CER3G7wXb0YeAm4uJyqlGjZKb3xROjQ3FvDsc9wof2vUdvJr
jTr8OizuNhVE4WTU6uxkDbEygzazG4JHh4vj9DzxQ+s1O4sWFmMLh/DCEQmk2lRMniMIJiPjZV3M
xhHo1/CEjn5yn3MMCA+OKYty0zBvvqvp8+7XHiWxxaHbbUU+pOxp7PC9KdBSoIuU53KIWtTUVs+r
cWNlyyac+u8DZgKEluP4kE6Z2I4jt0XkjwBXvHnWP5qaRTWIUAmdhz4pj7gx9OQfem6teU0AI1C0
4d1mm6qb+l+iaSbEEOSH7Z15GOJfOsWrtsFSCjHZNpt6upOe6hgKcrdACrQJ8xIjE/q49IvDlGBN
ixsDdQlxSEzyoJnoFHJnXLFKzAAQKxLnA2VBDLJgeG7MurEC+Nb5gbQIMKre8j6jbXtDWjDf5anx
ySP1RS4Jw3scM0HR9GewfPZdaspsh8wzJcEt+RF2XrtLZJ284efFm8hkJ7mlX4qEqhgWa7eIQjw0
Rfja5LCcEJVa/k1t59VZ+P2eqdl4g7ukfrIt33jO7M4FbKOSXZT5oP0LHzXmEMU8xtMsZRBW5bzX
uTZvHfBHCND6DlJI30OaiauAv6fcV4YJ2n59alea3iMph9Ye3D9tdqiRUEzHhzy2kyDR3XESIF82
Yb+se8mCNy50ysfJ0h8Q+NTRHgv/eyu7R5ciaGKiyUzU8vp3R6fFJsGgFUhrPIFrweY1CItQS1H3
v0IYK0Fq9MaFvJcYJdogdqWJKaleB3A68qI9Hl3WA5ImErLf7hfDHG8xdcCd0oMLnHwGXdilPFrI
sYPelhH6P3umQEPmS2mOuVO0B20g4/Os/tYfWLUWC2WAL4l2MPu5PIGAUQhkoFtF4v+zdybNbSPZ
Fv4rHb2HA/Ow6A0JkBSpkbI1eIOQLQszkAASSAC//n1QVXXbfvVc3W/dm+qIqpYoYsi8ee8531Hn
wWe+WPhNETU2HQ2+W3BoJ3TmcxtcoINfQ8snmlhuUH2dBRIzXbPkdjDQ8VCWt2FeNeRrB77JRDDL
g5Ah7xy2dhmEvWwvAg0Ha6eJt6n1PlWZ10RLoIad3hN9QA8Eg4ZtN1FaT+kOwdV0xPD0usa9lQye
T8ZUlptFATMtTa++gbcA9W/ixhIcke9UJvWLBXLBQUMPs2lFXWzA9wF4SGivMWmY6TyB2zcJaL5x
WvfzQlub5sBKRCzkZxObIepqTHbGjGIpthQsaHzllzwDPXNzouJVUbwNbhnsJrF8TsSacrgErGWQ
hWIk9QYQTVJFuXpB8gX8sdrqJWeJGOPFNh2N/lrZ/sjmbgqO+clzYzhvImi/2TIrd6VDwTBO9mPV
DXhWi759KH1+1dLZ3QZphHzrBttk2pIXoc0iuvF6ld6Sc5zfEWYmLnTfXC7HQnIZvOLzUMV6yGLa
sGpn46OPj3BrS+s+y8g6HBP8Mvnks667WfnFJLQEJCzetMGuXHIEPAbkkI925OZUl6ZhItycF3Je
rPlLn6KMGBlhgXDkb1BpUUQ6oYkPvW4uKAKhibGb4jLcpN4wES5YCP58wPv5M699Ia+kqv2Prefw
s8g577shvnDLicSvMsBiiZnz1pFx/uzl7j38FkKRyuTaNhtwj4OfoJtLcxGRbsaFBsppfwqcQmFK
dZmtYFywF7RinKg8pIfDqGb06gSIZO4YGNukMV+deqqdcOY+k9JjNDc4EWFbLRNR6JPjf1ZFrz8P
+vQ1F7G8WXQLje2IefuQC2ndOJU7RsaSTzUrq5Dkq6SYvemB0UhEYzoJvTq3fuCc1az3+pZVU6PE
MIW5dey+fOs7C3USL2rCPYXJssqVOncvhOHwyqD0bA5dHyzDdmAqGWJxuReImlZ9+aXv6/lTjyr5
S520x1KlOMHzJk22bWK9lvSn72tsCF8NLBE4lOAEFqgwhulCrHBuUAJpPoSTM09f9dIvQ9EM/f2i
uvYiZvG8GlON3OvavSVWgVwAT0JqZjuYDoa25DzO7ui9xolXbVOz924C6WSP4IltQMWZE3aVKiMn
s8RWNGIpQyhSxCdIqzl3ls2snaFZfz0VJpkPeozgFhLwgMgF1xwWwamH3crEaZ8YHZpKT4HapkUV
Cf4u+iOutocMHleAPsrskdWseGSLG55KNen39K/jg5572YXuKCreuHWPhB3RE860nvip2VXlQ2Ji
mDmNTLaQCafdMdCINVvh0EgCAU0f6cFBnq4mg9GVXQNgHhNyPfW+u8N7Jx91hEOvjlDjwe+b4NTk
ubyxk7T71FhOV/D+NRj6rRbdTbVadamuloegkxX5DI7Tw6k1WGG3nJMGxriBsFbZsJjHCBGQLE7I
0zEN+nHpflKxv7hPSaERdIObm53VH+yAF7EDr0pmKSALu7BdOkNF+jx6yqXR5w335cKgOOyxqV6V
9ZQ90/6ud0wHUI9Xy1RegG3WQwRRib+x7QJea49V7FGHEHxHU6Y+IG2bjl0V3COOqSnC2uFLXdXN
KunNd65cklNXU5KW9dhKxihj9RFdYrph1m3ulV8Vlzn2lN1c0QttEjQ+QltKMpw74eyUUau70nY6
jBNLXNEsyopozA3CaOsFGaOZ19i9puTWFFY8n30v75obJpuTEwbJpLektIFiMSkWKpEGMyq/YTDR
xr9SbmZkFW0Kr1X2fSMTwIQsY3NDr64/5EFaERCYzyOTz2kNv+hzI2IyjqccDSzr6OSXCLkZox9k
6jqPJp6cAc12IrxDV/AufgHQFIc6LbPkMiOwBI7szLg4Qi/GzB5gBu51DSsaycxdczlKTRwGpFLn
qZWcBYxW2y8OWMhRwqNuVScuOp7JEGNjdily8oRjrC5vFVy1r3pdEJ8DElrmuC/Fx74I4uwZqwDo
RELariTvI0LWZXFCF+TgN5KWk4M7AJwktQ7MS0tb/GHJyVXMXFbnKOjLYtfTjXzRKaxPipYv0q3y
uvFAdoNaGo6L2co7ITLxlE52dVaMrY+LyNTWBGYYOqmBEtBICWpKih4Imx5THbRFv5+KcZ3e5821
TSZLiN/C/tRTRUZymkjMro08StjrKM7bGYVmJ6Oh9C40UY9hw8H9LJMs2HWgWF4ce7IP2MIFIQis
TGUjfGSpTbrPEjTFXQMCycpAumNKTNWXMtDGPSGwNxZYiVfwoTd4HLHpSXxCwjRXyWHZUkoNyWXB
kXbaMCJUEc9NuxNQRaJ2JlicsTwdViPPkIvFyPGCkm08nrTiMxphsWkCrzpoWWyFmmInqRXqx41f
yn6r6dqMvH4188U2XazA026ktcxnodLDMJGePBUDYnX4mPgjlFbiuUzTb4L0iKs4zjIW2jbBQU8k
eQEpehoE+cv4lLdLh7O0K+TIpqPmOzrxwTVT/SLK68w9FCTXRCZowY3eN80x041b36/Qx/WE9mwH
kbz0Xp2HNSzfFSfZ+tcF7LwtvcEiMsoY8kUZWM/vnW4L5H+1rbK0etZE/9xaHlMWGuI2/i0dMv/4
qsMPOPiZvhA21tFO5eC5NlFJbJnqpMTBbtF98BI3dJfyxQmslEClBiRIPT0h5z2liR/OS/ta5+VT
n4/r8zboTTTIumg22CAjF4kN6vogPuYZfv6in2JIDWAkqJlJBCbvlBCfDhPhGhPZXgLRrnlaem9v
ENOwNTt6q3i9ilv6D7oeDvY0+NEo9PG6l9TbOOjJRVvbP5Pfi4ugxRO+qBGkd+7r31TNES0nRvxQ
2cSsKq0173Lp0REQ3VeZTvLoVeBXdEAdR/paYZrOsPSFiybHxIWHcHRkNpgmuyRrv3BeoxSb62wO
7SWvLupBjCSqosx/HGXcb+j3XFkYKB8opT5miDYJBJDeKXUtBsPTQuGI5j1WCwiIdNC6sB6Hz4HR
XikDtEuamw9kzhIPNYJbFC7wE4WS6BFOY7Whrw2+VfdHxhqx83FpCoeIvcI8wUa6xI72LIXXH+Y+
ve9cOLespDs1Ux3Viajv08Z8pllfwkyq7dfewa+rJx0kTq16mFAsvQlRacuO2AKMJnQ9KL4nQYD7
4qKanSWIxiYhbEIKP/48IkHFXT+OiH2CWZ1bwyDdtfTjmLaTVApZK+4+in8iBol3dfZ4l4JzzYIl
Nzj3mP9gpgAG63epRGnNO+DqRXc0a0rJJUvQKSVxyK0SpCfkjrgZYUgkG6Mg2txcigx7jbmUdTT6
pdFHg56Ka9NwfaSygv+E5/HNTMyznTcsHn6WHgkqKI6zw+ZqWOprXAhG44VWJNEEOmHjoeMNnXI6
LplX8KobDx1bEiliUpB4vfYCRQ1TKlh9iYY7ru8EVV4GE9d0qIST3mRJcKduVAeIpwdvbD9j5zmC
FaYfnwn9oki0qzjoqXVKp43y1jsKY5Q7ZRVe5BVueRQO7T/ixQnho9TfUpmaW2IHL7tkvMMk/MrU
mSc+np0omOq71hZ1SGPGu6httJueJtM9ZxcaiESK3GBifswMuz/hrxKhIoJkm5RWTby3INWvqYzD
RI5G2DlDf1HLRKdzQfacXjivQsXB3UAI9yGPFdLIZv5cJAadM4nLipFntsml9QW8nHGvfKcI3WlW
3TYfGvXN6b3xnrXP3IBZ7LYYq4Zj19KMghKM3kGzr8rO1+izZJkZdXpR4GmprzDIA6ddLHsIzUwR
O+ElBpGBuZ4Wx5b90SAyeFdks3jpoTE8Q4O0qrDQluVrYaYM5BGBay+NW3U3nl4SlsKGB/re8yb0
3zmZuAVHJFQnOey7LDl2GhRoCxbMF+osXq1EVC9Zbvg3jbLA3st0+EpE2VvSGbPYBKnWH1va0HfL
ZMcMYz1Vb0WmK+buznBrmqm9XHeT3xAN5lXNni5ohUJCMk9ZlsDdoTEzvNAtsikUZgZvIFtmscuE
ibBej7VrI+ucceuwGRyyePw4J84nKgTnvo0T+K3Efx14D+bI7XoC4gP/Qa3kHOBv5n2iE+7Zp9aN
T0zDSzXBJclxEJAbaiIpKDmkaycFUtW6ZAAHZEaO6YkaQk67xO0aorsydzjaNevPxpW6yPdJrKa1
SQRFV9ELo6apcI7UHG4o71QjnK3nNt1DJ+z21La+j48Ev66+GXR6fLPI4+3MuvAMVTewrlXm6B+B
Kxtu6LfDgtONKQ+vcUzTiAY1Qzwin6+sQRC1yNMDaFEouVdtnV0uQoguZMMCdNENCRXTrAiOMOUq
spdrJcQq81wVLiFzXerzag+5PJAg12xabWopWn3brzfJ6irEbzndO4OQNJ/0QrhoOnTykU0ghWTH
Ja8OFJkkJGAgmUJ6avMZO8FEGDAvWrS0E1Mur+fgPZls0ZSglQhHS7wpyuuIEcHdrFHWL2Brj6Jw
JSbJQe2J/GjvpmQ0H/OcCjzEmENsaucYt7ixgT6X7eife6djP2Uta27LRRsfNTsbjhZk8mFTMV27
6mZNPhZiBc5Uat6vEtGAw2tv3aEs8M4BM34MfkYcnDQtBfJUZsVR9v54b5oWzVAgbrylhJkjfq5g
2pED0KfpatNAw4Hwkx2LbNy831jA/vNrOvwrDhzDUXnKDXN2dtJVDne6wk4quyQPp6K/JbOO+SAj
OhM2eTN91BcvOeZoILZ1mc5vJUCE59joKdQgkyB4oMF0nQZBlkDkydrHwSWOUK3h5kljs5nxSIUc
drJIT/p8LzSFFYjW6KmLJ2SKSpeRYAh6SbgyEawMqfXLZmnUJ5wYBAO6E7b5VEPCiv0yZjmRhPYV
rbh2kBOBjTGSqB8XsVc9+ayWKHhKtE7JK7+srCe6tzhhGyU+6tR3lx3cht0gqf5pZ3p0abT0PBMB
SypGApmYWQbOhL66GmTwVUPZiCWyig9u6shQmxfjKhh5NcitStGCQwkC7XVbT+5EuogzHl3Nw/nh
xmVo41/hoQk8/FyyO/bE61xpnVdc4r/7UsM2jcZ41ne5P7+QEwkNeaWLEURJW9HAhxW23fygIUPf
QaxLI5S4VqTxoO/TUfTbsZvNi6Jv6Nk0RU1sSYArJ7Um0vqwNYPwaKhl9aV7zkryjzkqLAcw7S4z
WaMfbn2voQ9sBGUZ1uQ8lucJsEA4p2w2uAJIGUToU1xi2QiVw/iGHqtBpdGkO6PwgbQ1y7VTLPx7
Pb7rrWm+UZL4KHMsHlC5PlkJizWCiSizMdfRKXkJaiQjAbiNUKmUBE+t1MPa05qdaRT2QdnVHvb0
efEFRwXbcbbBoIPXSJYbK81QS+Tto+jb/NZNBlRh5oHCSu5HHDeftYkxiGlpT6uZe6cvVMhTqyEh
HtmoJ394qRDc3mHguhuIVps3euOztYO/wCpTajeIEudtrJvpRQtFGnyg9mpr3nD1jkLvWP83GWMw
Gj2B/YRBaGBqPV2OQkwXXdk+/nds/e+MrXEjmig5/29Z6i2y1H4ux5effP6//+Dv02vP/uAGq/wU
Zfv7hBoJ6u/Ta1//gEoDU6Hpmm4AtRkz/x8+f5OADM7yOhp/I8D3xUj5D3Vq8IFc7lWF7xtW4DLF
/k98/ua7vP+74TXKIdu2LFYt08bpjx72x+E1y1C/VEKfD45X0wjHrpMZ1J7KukZv1UAtM3PDWl2V
XbVTiIaCDTVNd2H7DU/20mLU3qbk2CPI6GXphCnNVY3hAlrvLvjK8x7fKNedTxUnqpC9BZDNUvkO
sxSt79ecVDtcmF2umbuABCKPokRuqKVotHV5uuzh7zQPXT8TmJC36bXBUD/yKLg+xaZmQQUFER11
AVVDhJe2JQ6rm+qD3tLzDZkCeC8LU8l6WxjNGgjgWq5iShQUYTVM+LrT+pB5S/ZNM4zkq4KsfDXx
M0/O3NCSZBJgwy8j257pdA+E0rNoYmwGJzGjRlPObeAn5QkNPt6eJpVXo+q1vRHnC29ujKG1keMU
AaIqdpxRWcQdLgrKSzWwAbj9BiZXgFFMMCgcS8f65HdcZgOiBx8BWvFIuOCAGdW1Dybh52iCuPI4
1IyjWoLqVmJPYG9cqjt9KZvbfPC7mzRG7LwhH74+Op4JUcBf4m2hGBTjiiAtufOrKwxMNBFnD7vx
ho4Scqna0R8Nz5OXQ2M/9U4i742+R+fvd3FQhiaII8Hcyy/2dTdYD/iazV0+rCGQAjYNuqc4RrNQ
sEhbeoErq15IxRr7MxWaj/zMjZ2jpSn9DX9HHdmVcfbG2wogQkguccvyqt/anOqbNebBuma0OjxT
7CafOnLtbsY+Z82t3EjrfblFvopSN5XV3qonsrzLLr4MRF7fObq0r6isHzNl0+1s9CKc3WHe1UwB
75latZGrOdVB6RXB5IbcFkWen7EJ6jfAzL0wnmx1kbjNvsgtP8KZorYpfYIwRkSYkX3cxDTuYmel
VBRvUCW+UuxoO8ZiMc1aWRpnHnKQDCivL9DaUWFRMEaG75AtZZk2YWzOXcPTRjlMkxZf4abyacpq
af+0VBmBLRPpxqlJgevM+NOp6BychyTJGYORHUv630+25yUXokzBUgBHuprhVR49v6cvD7Ms6iD8
b0sK0GtrbHlueGzVZoI5sxdzGm8GUmjDXLdJUQHL55CoC96IOpas9CSzGwRrdjUnxieOIFO2o1mo
6LM5Bn36AQ5amqT+WblT6QJZ1QJ/oK4rHHWP/xEn0wZlbGo8wNdK8kgHxnVy0ZfcST+N08fJXqiT
EQbjgquJeqbgJHySzx+za2Rb5mNA8aazixq0uQnNTbvINhrNeaJqr/ML1Zh0rcuGHuIGu+hiwwBt
sJXfj1lmq3tZZIMj2Iy13LrGyT/mz0Uhu6XG3/vu/k0dnMBIHAjoHd8NwjxmSfJcGRmtIzyoJJpw
eK94PN9txRMFFPpg491w7KvZS2BN1GSptBXa0+TA/MZ+HpqaEblXBEbhPnONApQr5QBplqrV4sBc
xwQE8T8uQWSIwak1aOcPMv5YI+omLqRFB8/htTNjXixjiv67U/87OzVqMeOXSJ77ZpDp38KXopEv
P3hIfvvBP3RmJFlhu/sjdMFdfRr/1JnZH3S2Wos3y0YVsppF/tipnQ8BijAMI2vq77v55PeN2jY/
AIZno3apQt13h8l/AOQxrdWH991GrQf8ClPX2aOpGHR45z9u1PRiahnHrXaC8TveIXGposXunIuq
XIrIE6Rl6gjYz1bpjnu/waRsjHNw4RvgU5KiUR9JY6xOVk/gidFK/0AuHC3ROKevVDf0RDy3TkkW
TNDdWAcwdyPZL5jjbbt+UENxSxNHblA++VuNVgeGFRZ/IksCfOYMo2lW041jiG7ey5oztRDmOsVP
cFmrsSdNgClk70k7RI9ZvuoaEU++9YmUkjfr3V8YD3dzMMtz3rjOvlUkP26sfKjOWb4MR9rw7Wn2
0lFSRFfFfrQWVjROtJezcr2LKiGhMs8XebTZsrAQDtYWVeoC7JLLec2gDvSXwh7PSA/65sabEMpu
gMzMh0Xv9EgXtFOE0zqXeucfiM45Cx0htiUD46oqOF/EUxXmyOBXnbUZFSk+EroO8Y5eRbXlgWki
UmOBZyQFscWYJpPCwk8N7uO0SLvYeY7mEfOVu9uY+OHNYHtiN5lEiB6mGvcSdcFKgi+X+xbiS6jm
9CEAWPtJVY57Mdnga2qjYaDTt0Goz6sBU3DE0iOEyllH1aWlhg7rOLaW+7qzimKIMtX42teinFAZ
b5pyoIU6MGki8alu+mWrO42ND94GmM9xLJ/PrVX7xGMGKECADLB+oXVp1b6izjuYnjPtvaqu6w0t
PO9mqmp51pj6MvnLNOzLG3/prXHDEMWhvdURl2xMDNMQHa6A5TGoMA5hzLjWZsawWqjhUEqWfSO6
peuumrzMALKim/eh7aMpG3s64GKc6qU+4uORbvfcwFg9d4tQWUFCWpNpSN072XS5uothMe7rluFa
grdhGUe1C2IW3GVvL6KT56CfscZ/UvrQ6/calDhSonE6lgBgzIQK0Nyhd/Yn1MIArR19ulJZPYt2
1/ZxPSCa0o1HxlrTnZrapdrMOVzmHfQNtCyFRpuGfmsQb7Wh79E9zqP2kBZOVhBz5DHVl5iwrwoD
BSqzmfbVWZIWoAsiyjM9CqDWrCQtKnVc7g+xUxfVtZbPprGtiEfCJKLcEcG8p+ItpgS0T4asawpg
Iz1A9tGibPGsZKug2Nx3cerhr9I60hwZGhdsyYCq29Q2wzKpkps2ndsbl5TdSHJA3Lopo889fwAp
T3rv4Bpr9Wiqy+WQzYSFuX1XQ6FsEWB4rcEA0KY3s05ejO4CQgbBs74bM4bwCDNwesnEJpEMRQ0N
GDnKbprlMLMKBqqOJeeNATYqSvVenofRq29bRoR7r7Xxj4zOTZCPyce4FNOJbG0TALiWLP9l1H37
tzZE9/0Y938fXR+z/mtT99kPwY7Wbz/1+27oux/eo0zYc+jjvYuk/9gNA/MDikPyG9n4fAIFvt8N
vQ+6T1XL0ZSzhodY+5/n1nU7DCwP5r5rm2u0zX90bv3RtE4CR+CQ98GZFRc2gxRr/e/fBXGYKN0K
9Gjub0DkrjKmW8eAaEm0LGROiVeBSuCfF+hP0oj+7APZ+ckiWrMhXOOnY3LBtxamqJyT5ZgcLUeF
6zkgYcUtfVAM0FH+ImYFvft3u/1vX9CzXa4XAkKU7T+58klIBrtFpNPJa1L3JV/x1+9A5d4Z/yo8
ZvWf/quweP8obrVrOkjPiONc9fXfX8sO1UQyFIZ9Kio48YiyuwOulAwRmJlA/mR68OAVOUzNmJPD
r6/qn3zL3youNEJEPf0MGVQtdAs4AvapN4lOqX2BBQxU2mpSSxgO//rDDFotP39RnkCqJ0BTRA78
3OqY8KKD6snsk2qgPDBRRC2IHEMH2DxKDxhMTVREemSLAsk9d4Dc4XQ2oLUntqmtDlTqL/Jk/vfX
h9fouy72Bc/18BD8eOVZzxFIJ7F98hXgN4667ZoaUvCP/99nGQYvDTKDNQvspwcqAU9Ic3y2KQEV
zHtb6189WU3nYUU///pCrw/Mjw8U5S6NKcfx2ED1n9OIMilWROpgn8jAfmMEFkSDSajMrz/kz64d
i5CBt5qa2Pk5iocDn+1Js7RPC93mU+6Pq8bJhZJlwIf+q0Qu48fie31HXN0ykXfh7+AS/uzh9mM8
qotmWKfczABAU6g0J6aIiHvKrhfPfltA7XZnXtI1FGlOJbL+keTFX3/nP3mCXR2YI+U/r+oKwv3x
gYlRO8axW9iniVL0aJHdqaH4Bt8rtJ4nFDh3FRWFSVd7XgbUV+8vr7OmdLGC/FVK2p/dAXqHAV1m
7jSawB//mKIMMCwjoDz1I2xzXYelrFDjnmzRBdGvv/iffZQL8JRTD1uL+fMTNQkfDLzXWqfM4fIG
QcIrSwgvS73vcid+/WE/LvUs38hyA90LbHYWRPU/f5jAG1C2rdCOTEEwi2laRxaSRRjDovzpdmRc
6P/Fs7weV797Y9aPRM7g6WzBPGf2/wqcE8Vi0wHCl64j398zNARG3Xc9idtKI8+rj7mv1kqsBsqF
giPhlapIuDl5Wg1yGpN3e1hatr/3FYRDB2PWeYH4v4lT3OpUqkQH/PoiOe9b7L/ecoeNHw7AGrRG
7CBs25+5MQyKcnsCMnbsS71ixoF2v8lcbceAvhjQZ1UzuVcArbsGRXYuZjcy+GV3HQEAVUSSK39j
XMXcyJim4+tiVfJ1wiHIQOadvG6Ss5OGiNsMpKwGKHIMrpCk38HcpUv6h57zY92a9uARgN5hvzet
C2Xm7bNck5X8xLaOXc4F3MwwyW/xKpF3gZsseEAgr9G1DuLWOBi9w6/GTtOpsApSZC5lh95qgy3E
IkO1bvmMNUTB7VPyQ9rV6YTjhRMwGn9oDGnDEyJsg7w1tKm0q8FCu0e15kf1MqnIiumMOj1CUJOv
aLvbZ08A0T3ShZrPNPinW82UGnkEokiyz8YccMu8xXLXZHRaxw8tGrTnWhbuS4F7EoAt3NSXmZT5
V0AS6w49Ei5SEeXxVSyxeRhbrz13Li1SR4Fm97KEkx7rLwd9RTQwJ/8ZCL4GvPZkT8RX0BTUttZk
T+eSSKuH2YZy8x7i1vXMTd8p6nIxuT6Bir1z3yfLgwnO51UENvepchUc8qnrX4sqMRFacGSOlj6m
j+0DDngYBOJQkqFm6yKIa35LtaLhF8l1w3WPquR9l0Pcs/pl3dKCIpx2+QGtFRP62UPwQxisa5Oe
A6fVOyL77A7vOXJJS0CMnpsQ2kl8miLGD0RbvId4AIfhqaEf6Lx4aB1I2shRRwOt92eE5Xrsucd3
3LlGBgOieXskxsycTP4Yy/EKhG+SfdFtEB3zBCczId2Lb1ynGuFM4exU0ucQ70PX9zDVAiZ8d5Qb
tcWzPOaM8nsdo/weO7+/OlmnW2H47EWSg9Jq82Bf3pD7BINeYFG/WjxAmFsjI2ZsbFrnxU2HAFtW
3dF3x3rf3SfWYh4W5J9eaCau/bkex/qjjwrjitF9GbZI7gyiinFsgEfTu2NWNuNFUq5xN305TVtV
LyjH9D52SZBYMkYfLtlNG/JfV8oQCrnKTpGLVEUQbJnII18Hubyd62X+WAS6ExFeLcSx0FeLLc8k
wit6UHdS9Iga8nio8FJ18s23F/z9pjdcB66D5HCecpQwQ8HKtF3W5BGlCzQAklDCJ7csun4HWMD9
Oi0e6mDOtZfEcXXJTkcchnFtEFnICbvG/Tg01xwScSnUS59+TtaUKMzb9L/d1N2TlROfiID22r3f
K/dZkAIBcA7fgwvW+WjZFSL7SdnL57psC3ht5rJFFcpt9NELMQNQ9eccgrJE7EYsWaF33n4tRmFV
TeRyhV1XaVFLDbjBpl3tMBfLdWEiqYYe/nmAsHhB5KK4yLu0383OMH9DJ6NwemYaraymesqKkRji
uUZeVtO6yFtcYzRIXuiC8X4QxhLGJF5vh7EzdhWouRw5EhkphGrRh4wbzHgd2jhAqGQkMbNYsbzO
poM/mjTrnRfqkkrXPzA/nJ2wzkYF5zrmgzCyxKGNx4jgFubxaEXTcGlm3D1VM3xCHYKeZqz73QBT
mTQT/WuJUvwpKDMTQIcx7XoNtSl8Kn0fkHd8x660YOJkeb907VZtRKJzRz2S8i7R3NS3uhzEbdlL
HmrNpSJ7eY+20cycV6Jf44eiRkicVe60Rh1AuibnhdVWviadzoLULIHxcdYXHlmdbtFDhy0jifwB
MGG04sEI/YAtNm7ACxJdQjxdg7KDUKf3VAZvLruDBA9MXsDgoEtHjQtSvCvX32ZMAoPoe1YsqzGF
GUqRW23iHNXjUalQ0xMuMAqbV39IHYy1E7Cpw3tAkhA8tiuXb0WckyfxbDZtQj2XQrkwrMZs6Iik
vag+w7L0xdssRnuNv5KA+TzZR3Vuq2/kJrYJcirNeSQlHWNSGsAfAzmYbuopyaA6G3n6pR/lSy4c
AIk2w4ltDOqqf0KHM2j32SIa6+CbKShWJFJbF2VNlCrV4lx1l93srzCDIEGdFni2+jQ6XXUmRufN
LHG94VS+KaRJuAIh9uXWDICK2IMwXxOZJq9Llqn7ZPC4c7zxedSSHcJwMfFQYI1ptvY3y947klvd
N+Gk0NNse5d1fFvgxFcHksz1k9028xUjX+vsLlNGaH2FaWzjchcIl6af8KDVtPEiTPwokbvOvlnI
kLyhpzScq8xvt11jgPod0SUDC7W+NIE7nqQrsHY5sZnhNPWtbAtHHgnYsKhgU7UlywVzOCScvn0k
Uu9LjFTnXsmkIOt10K86cLOfC+UyZe3KFDp1vibbk7OS4Iees6sOHvNRC1SA+WdM+hcEfuJUMdSN
6szBu+XqYHhs2Vfd3mDJ22kUs6huDNOMN5kde3BWMQ5/dAshDmNNu1VkaXypz8NyJ1P8MsGYqOeh
lC1c3b63s+OUTZOzBbGAc9SP8cZdu5OuxD5Ihx4LWK1d5t7SfNIzXAN01Qfcm5Du9ILsDl9dK3b4
N2Ns+6tBiHE/sRGe6ryvEG4HKZpe3FzWRcritscXaGRbQWWhofn1xrvEHCGf1nnMgAzUUvdcTNKi
q1s6l1NmsoxibQogJoixViFknSGG0tCYV9KbseaS8mn4kV96NguigWHWdId4F2gtSlyR2Beo7NFd
le5y6AcvO/fYCj4Nxtw/+OVsR+O0AOHJ8QYWzK6RFhLNAvQ590JLKA8FZbykqEcl+5DU53EbayNa
dJtLdTsunFNoRXrd1oHYcGPq3vRJ75R25WQSmnFmtdbO16zO25BW7NCm9QBbNWYW9PuBZ/ctLtPp
UeAi/KocSFfKJSl9pzP17LcENJEMlDel121in2wZktXbLOzSZUYfK8Wbk2L36POK0cCS9ZKp4ISM
r2loycPWaOeNTUwqTBlk/lpJdpmpu7HEDbKypJYZbxwBkx7G/MGW/qkYMO6BARifUjLVcEklS35D
domnb2Jo4zc1Aie5gVaqEW5tcddKGkhYD4QqpwFAXzuhlH+v1//L6/wLXidztBX98M9WX/giX/72
Wxf1+qX69o+/X39Tfzu8VIJc9u7b99PB33/yDx0PyRsGFblL+LnJ8fT3yaBnfuDsy0Fc9znA/dYm
/ddk0CIo3YEjx4Ry7Rp83wtF8MP/fRXeAFPSrf9Ew/NjuwWOhcdBDBSozeGDPpr7U1PA1nBgreyI
Q1E76dZa3HhjusnDdxfl9rdz3d+Qu982WS37f/z9xxP47x9CvkjgOHxPJE0/HvYlPCQB2245DADP
NpPXo+rzRm8rCltGv/4otE3fH4bfvw9dViY+BP/qzs+Zzk0VTwSwgn+cxkxuMva9E2JSBBEN07sy
yeShMv6HvTNZjtxIs/W73D1kABzjNbubQMwMzkwyyQ2MYmZiHhyOwYGnvx+oVreUqlJ17WtTZVUS
GYwIAP4P53ynMw5gBBzUhbhr//7l//JxwhLh/TKNZKz0D9LXywXthmdzztbTk135L0Gmtn//Ej9N
GMgY5iVcxre0zh5e/J8mJ7TA80CIsaTcmJ44lp6RXeCeYRyxMRf5/e9fjDr55w80IPkXkoVDARY4
7JH//N2JRDqeDpU6OpOQ56SorDZqQoCthRtXSEycL4RWSdg+iUSe7IoGQ7gs4XbTGnT0sIqn8cZn
GAz6Kw+K0zCRjkRPNWJpx/GcgORRIVxyW1otPqs0JEUjtFkYVeJXO0eIPKr+R+2srdDqjnqeVdhG
BvaFVTsPYT6VWBBFWlB3Yhp4nvMV808Zv3ID/S7dOsy1njy3TF6yeTU/VB2ZJ0nj3pKiWzx4lDCb
0elYrSZ9cjOMtYUekiIY2hg0BpOAmXFYlhPS2+shN8a9qKofjl8+NJnz4S3BPVa5KpqcoDq3pn5L
RuQz4cpfNiipNpWA7IdQimN2NQB0BBKgXZ6+U8/Jk5+ntww2jG0WAuxwbKjWUzN5N1qLIgoNLz7b
iXj2DQuHUZpx4iqfUKpx/C48I3wicwbZlJXnN0sok6feI0AToVVkUklsfdBs9C8xfMOsjHe5qdNr
YG7UqkSOxcFMzgJOpWI3dQZ0CvB8SXjqg3zQ+4y6/En6JJmlzNMiPIT+pQWGYl7VLZwp+Btd531x
0Lm+pMVIEGpj8XugO9hPjQWxj/nHcDQF1N6swy7Kt7rCyCq8E01JU2jXsthXU8glUqF9hXszR/lU
IxqeB5sg+NJ8Rg+G82qUECHSzB5ewXOA349Au10MpNpPGVZUii6a19jDDZpKIq42U2aFp8VA1AWC
vbtvl7q7qzp1icl3fZVL0D85gyiO67772tLCO1aQvTdy4YjH0aUPdSVe06JzIeNnA+Qsn2AuojPC
e9NL8gNYqe6a1OrmbgCgZ6thvia7tJURQFpzj4hRviI9SCgyPALY4P9nhy50hqssnooNJYt3l/lq
H8eiqQAs+NYmtJK3fCAWgh970WNyhosOvqqd7tu5+EKoJjpvRgIHp6opbNGPbzL2CTSTYI2NeLIO
toDoa5ltSUhA75wY0iJyoLcEXZW4zS1ZIwGptYntBYxQEvNexHJ+VwbArpKb5jLipr7CXwrxUcPS
9EoKSkpj4tyKWPpbaUpeDSUCjWRoGIIyScf7uE1JmAV5+YrXHepJkISYLeLpSpN+EPnNMEUeovOD
YlLCvV8ZG9tB1+HEg44qtwg3wisnjJqpdUGkFezj3AufmwZdelVkNb1qCmJDvITWQlxP35sPmZ7N
oz2KN5/v1SAt5RF5noOekk9aZMu5B3cUjbgtSaQx+m08jcVWBhZkvSW/NpRs73PSbba1XL5lSYDP
NiWfnWI6GU8xoF9YLOa9niG+6CahL4J21ITQcZaCX5uQI/KlQ1EJwUVNwB9k1+xBrol3amIAJWnr
7ZTeyzYRTy55oCSZF119Asqn7gajFe88t4NTVk3iYFq4Lgh0YJudDnxDrtMuN3FJhwWCvp2JzwjK
Cw+k5WTpkB7Zdl+7hlgDZEMGg7y4IdQwBvJuppckwPjEAbCpRhNBS5IQFlhWVn2jquBUjvaXokrN
DUmYdZQEHZKWwMC/Q5IRo7rgOomL77EO82iRaucPtvM+mE77K4LM8ZZWFnexS+rKlkeCd5vNub6E
HvY6r7I7UB9oE5ppmb42mu6AaohXNkPg/lHpcQMBkNL5j5Bx0os1SfMp9hcHEn7ubcntslBDVLg0
4DnApWWYSQwH15eFu+BbRQzyysJmYq1Q2nZ+/uym+LcZZkJ1kB3hRHTs5No4PD3YlpYHIDjOpRRo
ZVZuy3hbqcA4wjv3Iin9D98SSb9ZQwu3MnbzU5AH/lOptHWo3YwJnY1vwB/nDACOY+8suE9HBKRr
lNjgsrh03Vsvs4pjakCJDVaFQzYf8L7y8Y+p/mLx5NraDow+PqTySQSJFbmmRWSOARf60ZHezpuq
6qXHnfsG9TG98TpveSEIZYvKFZpN3nbdzWC1/R5IP1fe7OfIpUpg24yatxyeP3DMQWGRHdGVSaxA
IDYTQU6CZwZUQ9+76q1qtpHWlmr4ra74T5H/r4p851Mu98+L/Ns0a/5U2//2A79rHVYhPnURezUf
Rf5npf67Rt/5hd0shSD7GS+0KP7/R/ln/RL66PvIqcLrvwr4/7u+F8EvIvRNxOgIOvlx1oX/hvTP
+rn29sPQCigYufIpHFfF/58W9ASYMnuqXfc0apIqthDui4eUJ8rZdZwxErOr0NLmy54xK/ykScdn
LOKEx0Pr+sIyvX11vFy9mKJWL1jH7H9RL/+0u3L462h2Q3QiTK49Fud//utCpOcxd5Vzwh/cvLsp
0zkJM/VSu5qCT2blfMDtOkaqbTC8/4vadrVk/LlZwBxBeYsIhQwDD0HKn189Tu2SBj+DFpLEXytC
saNhGrLwugi7BmN4C3iZ0hgYpZgJSdFOmH2x8i5700u9fPOHNU2lXWZxTiA/7wpvKA/9Z+5KJxvv
3me8N0d6DWaJ14gWqxXt3kEwiI0OBlquK56Mzqiq29SezTbyLVAEZiAZF0xo6rfDsCAFg+lr8KTr
YRePuWe/cgSsfCzMjIsK2OGtgTIdOr2HtFbwnj7zZoweLBG2yzBMIzRteUTAjflicHDscIQ/Ddh/
0GYukq2K77X1DYFKaNvwoZGIuIbdzEaF9t9YxAZh5AD42p9GueFITCM8mwB81tSc+jNAx6D5uLhT
Hm+9NV+HtRNRO5lZTsTufEbw8AV4x0AU835KS++gQ5vlq2NzvtEqy4dwMPJ7U2XYRsi7M1/LhiTW
pvZNRu2pDnfTILpsPwodwLrhVnoguAY/dSzX6KDFSfsni0XDDtDvNJzCICSeBV53/6Czgcgx7NGK
+RvmsX1lFTFqOlR/q0Lda7GLOMkirihoWT0nSWZPmwIz24a4JlKP2txwju5o28amdCDwTK771YcG
uEtdr74r6o5ZdyJtZJEuOD/nM1kpMbW1p1bu9l2Pw2MubYgZn2FMqT3uCzPbh/04brlTw5OHB/9h
scmbY0ZNpNMCy2QbkP9A3n3fHpc1+iksW0Kgsq5Z9kxjE5Z7OYrESI7suKJxjZAC3WtdgY7WZ0Iy
42fce8MxmNIJ6bvvpt+dyRxvrc9Aqqz2q+8IO4AX2Isk2Qh+O+QYKyG+DaKIKzaktXn5lnvvMf2U
xQ+/aeSB1HjTo9VVmW43wJMbpm5Uk0mU65heKWj7AkZCGmcBNtf8YJtEyBTFWFmEUKTViJq3bkfz
GgFql71T4Jfk/9XsQG+V6uLzMiziVJoih2mJqTm8zK7dvC8wtwZy0waNzdOSRv9Rx0MOgSfsJdVd
34As64euNnYNzcz1OFskPyvT73EmQojPHlG6zvORJgL8ghHX1CpN3VUA8IY0ad8gkACEoA52a9z+
Lm7mZCpMduBJylHQ1xdETbAOpSmad9UQCmyt08+NQczfaS5U8YBQZn0Yprz/YsnqW3TG/o09NCAZ
DTvk1br1veGfcFFYLta0k1CdoCOQxvfSZ17ugEYZ+et1wtxFNhr9JDbOVxYezSsou5BIK3fENphO
3Mg73EPawJ6sh1/NvGNWTUKza96E8SQGWCFt896pMoQxbJTL/vNRHvLOU0bYg03gx9o4F0Y/3jC9
XZ5LJdZI9GISKF9IzLPZjGw5Caz53YUdaLbnAJoy/8VQPyRykX1ggl22sYBPfK1JJswUmga3fh/m
vuLS6RbFzmTxbiQT53FLW98Y+wm6X75xkD4cZGCXt3NNbPeGqHibtY6V63vMFPat0xA6usnioLzt
iA2vohofjbsl6ns8UepQHlPjptWlwl4KxZ6/gGu3alF6MWoD3Cw7jWtZkKW0rVXnvxkMpAmOzADz
RgSNruF/gTdj7E7noNuk0p9eG8tobpiqUsUFHoltcWCSfs0Kd1dMqvlVWf0XoSfvNIZh7h6sPpzu
IaKJcmswJkcYnwYIUC24OizGG+S7DgynvUVy4nUqRvK7IBXXl7Scuie7GLSH4WhwP9yx9pgxCCsF
yA0JxSZuEBqDqy9OmTdXcTqmpAAundr0MihPGqUrRhvdWaCNy/4U2jZ2Xi4g46ngnFl4yyGkjpDt
/saSlW9HnqtWiFBj2zmkML+eD2SXzTz9Ri/vVsAAq6SE1C695ncpLHv/MXn+r5SyqNQC6pV/Xjie
6m/Ze41W9Ldfd/r2//7Pf/3M77Wj84sfknaAoG5Ncf5D+EgQoIVFvekx5F0Hw+vU+PfRsPWL71Ig
mj71JlO5taL73d7p/7JKqdYf46wj0uPfKh0d5y+zP0tYq3qN8pRRwV8UY4PN3HtJtXHCIKDBgZWQ
cvI4TtCvmLguCeG0x82sZrbjg0H4W5HY1sVLu+qaObID0cKqi11sZiPFklXdLrGu30KTLBCooGhW
NvxUtdVN3O9BZ9VvlctWiqm4fdtl7F8ga3XierHKYImKvEqqnQopITIvePS7onzo9DDemuN71XTc
3yotnvvRRPNfZKMRLSM5iofCbMFHl0gVN5nC5o5RFOz6VhOfoCmqfMhEUHGKX1OjYEckOCO4heyO
ECd7zk4FWnZ0RiUW92TWsSAUNl6crdshycJCAVY/6nBwIqMIcnGQbPjxZ+Neu4icCdpOzH4Gvbwu
CQUGz9J8tKptX5veXG4GNZvRIEp1lYRq+giqsX6FlMiWaQyS+SqbCqgMbZ682ynaGAKPG3aYA6PI
ChX+YJuRztjyLa5u7lwxN3DBAi3hBFaTf8CJV9wEwIPvnVJQ18/9dlbNiagp2GKyYGRSD92GjeBh
sjP/zpJIhTe5qD40e66N0FVw57lWe4r7vH8UpHRsMwBNO2eaxTFeSK3Y1MbqEu1RluQoBa8CPWUw
bJUlz+NCsuM6g4KDmbnSvwTELNURI+vyWVTt8Iibg6C+wWJZDHLH+gqiJv4KaWwF+uG1rGEzXqaF
Bxnee2/TLEQ605Is5BtYw0tZYLDANFN1xEd18or4kfFH2IULKQZzbxRbBQDrdnTqctfKcCVJwYrF
/2D543VJRC1NtDcU7xL92C5RWrpQLipmcoyZ1RuYi7KMJirLdkM8ZnJXB2FtHVl+ZA9pW4gXXB/Z
fbi4vBqYuO7Rau18j8PCubLsnJhJwhHSI5VLgnyuabd2P8rjBKThIUmrMvKqXL8addKdoXKE36du
IqrcM6uEA0VMQbabpAwfVuU2GYp90hhf2WJ4d9BZV9AnOTPUKmopPhwW+zA0UrvYJaABtqHbW+Dr
rfqJ77GACER6uK9zda2sOT37nT2GO6uZ5CWNa2dreHOCHynIm6dA4GFNMMOorSH551aTONfUlgOA
0qZqb3ImpBz2U8Vd/lUDQqMMKH8rCgrCDSgRwt8qhaa2GNdtdDjC132AJqjN8lKbpka9YiujX47V
hPYhHhe0L6zexXxO3TQ/ysm7swKInwSQLJEQEDZmpwsfdcndw3BtKF8J6MAIUsbolfzBCRV8K7uJ
iHh2H4fBHVpsRFhyexJSorTOzBunBWXQA6k7ODLHEtQogqkLhFhhPDKlFgiMOu6Xh1jh1F5n6eUX
oNqiunhDb+Z3fqbw326Zzw3mo7OoaQWHYW1zwTFJ4zgN3bNTpoxgiwAXuO7EdBLdeEZt7l030F4O
JNHjnNHlciAedb7HXGSfKFwl2SVucgpmVd5Pnege2AHryCnybB+LkKjhli+SCcKG5LCMQz29AYS+
GYAPomvJLmN+xsDEbxKGZFcdy12Y2a9enELLyo1znjPqlZhhWUASA+sZQEOlcp5TRzinWAHJsfhY
9gAG1G1mOq+opJLtRBWxa6bRuAa5Hh+RkWviDsyX2gIlQTfMPTB/6xTT54XPMO7Nqzyz2RVYYQGS
QqVftEhr7LfNc+BDbqqC9sPlG9tRZD6Y6Pe2cQ+jUnS33pTnd72svzrIeTb2fOVn4EEqs8GKCx67
0n5PWiYYGMiV49auy7HYDEh2j35KIMzsMRkEGCP9DWP0ayJE1bkTwKBgGO7nMBiZhI/O1lJzISEv
+ubWJ2353MGYznh77fKaaqWuQz2R8DpZG5vLCFD20F9ghVFgGkP9YGrZHFZFxcGZF66mGRDI3MU5
WOIG+WiQue29BE//IBaCWbesEMv7wtDTrRd23zBYmOciS6wr8MykfSrgkfgBtbU+ZiX50PCBkyfa
WWJDCWfZSu3aOzQC1TbxkvmmJE+b/svqvixADyLDddSNHWb3bmcgKgSJGXXjqG6qrqiiriqrx7GM
43vXZsPvDNCgXSJvoD+OV2FsYkm2Rfpe6vg9Vaa8t1t/urN1qK+yTqG0Ia7mcZjYVvXCOytsecwm
uHRyw3xxVcqyy+A/Utq6CCles7UL/2PSo3oIDGAvy6DnvZiXcM/+rvzhYXK7WaadGpbhMiFKIxBj
UM4NzxiEKX3mg/xPq9VynjKIhQ1xJfxGRKhzULBolX44Zcm9FTZKRX4xPHARljdhY5Z3uRuDayZ/
CPTjoraWZd75jnK2yMC6U7UIcVcCONkaw9zeupP15o6dtwOUVzxWIfQwOmj7hQZR7hVQVYsrI4WJ
QF1AoIjj13tSChmfo1c+WAy8rozRC8+umuZjHWT65PUckQjDvRO6SM/6z4D1f1Unk5G3bpX/eZ18
/U4D/V5/+2Oh/F8/9LuAwv3FBFSA0ch0TFNQEP+PiCLEGsaiH20BQzxW4/9dKAtgJ9SsQRAy4RNi
FUr8oVDGFLrOXl3f8REK/Fsaip838gx/V9pKgPCfcab3sweqNoe8q9KCKN3EcpHNU4FcEp3MX3CW
jVGSAP/5w8fzD/QU68z2j+p5XtCnL8BdwF8eOD+LNnoC8Hpj8eaj1nl3bxrjGHkeprK/f5WfpRS8
yppLIpCfeKiL7Z+EBr2rzJH1rQZfgLVosrW8J6NqjDKfNGOYUwgZFcJ3jlrjQU3Irf7+5d3wz5Yr
dxUbeObqjicFkf/xs2xkGOYgG2e/pwiDo73XEy4BkC3mcXSgqUIz6846R0J+mGOfgVPLYEptujYz
MqZBwn3k1LUgZK0zInjiKN4TC7RKsEwFIekF/y6SSrSagjhrEEttDpSWrETiV3tw6j8kW5wHgWRh
u2ikK6mD8hcJuDxXniu/xsi6DpAzma60icX51UghJa43Rjqm1NYTZoH2piMG4cmG53TXiyE+T55q
3wNwOCbIknH+QdOy7EfOvOdyoG1X8LcvsWWUUcc8zYqgWDBOiM3mLYUa+Ap8hR+cdBZelGRmYQFI
eQhHv+qBVLTrcMrvUcUmFo4x1rOOIw42PiImrb6ygeNk9tPcEGjia2KqXLkgnnZCnsJlYpeb1s+6
+6YcaYNGn0S3vPeBKpPSdL0InR1jAG5bEWfduRhsea+qfh3ekfXkAao9SYT+O0v043NuVuOzzBfv
kW+Hk06xMaht+prB0/JjpuKIEgbdUTbV85e0j5tXqFh8M7KtzSOWAO6hidmZ6LHLeRZZshIP8o8J
NwBiPn5kNjv1Ah0muMQaOaFMeutpKBf1QsJKfdFNE16qKuATAZFFwepUE2ewNywmWtyy3amWcJGp
HoHwSLt4aD3kJgPZZxEdVvfhxPzPpLDwICS5vSRHUl4IUHEGSW/E7Ryw9Tt42VCeKOzam3k1GXCG
4hlQou7qnemp8oTAnVHoAlDSdwyCBYjHfEgmi30eEO0bREtuBA5+/I4yHppf36OHKE2kfaPVvGVa
js8xJLLrUI78KpHOhxYaIrtS3nE4Ge1NXKw3uyHdWyNhL+KEvBeP7LBNH6bIaqh2K2S49fjdgjR5
4LhzbhOHbyIeQ1DZdTtvK0M41bZsBz7XImnffYaHEWKRPN/2LF3qbZPG8YOHGeHDDc3lup7S+Ys9
VcgrG26GskPCQQPYfzNzz3rKHFgoacLo0TL4bFXC90hCMR/1eonCWRi/42Ip9ksx27SfpBJsHK+Z
Dw6AiR9dMbavpLzFpGEWrxMAn/O6Wr5Ngh/mEJojwPOKbCMcTDZRve6bac+kHsfxAP6caxPFK3ZH
Rs7B1nHKN2S24/ceQsINOGouSm2PMPX5ojzf6Im9cNrbFssRnPfJvR3IkHuqM+x3g+s1b0bPOnjx
i2UPX6V5E5U7X+WYBh5ZPATwpfIgjIJ6at6TwGdRnYkZUmxHF/D55oKVQ0u3YTzoua17+Jz5cj1R
77+0yigeZhLkA4g5fD4WqYNnOpwq8iYzO/YNtsFIkyBzcHXWfbQlsgGu2mLwo5lp41crK8JLbs4+
wGFbyJseW21gvwS/UWTI5QEpk3WD85qRlwZpBrxFDYOzXyDVCUx1w/UsJzBKUyIG54E1DPJsR89f
LBC4UeMBsdowiey2Ei3MnuvQNTe9bYf1ptE9j6ahvhkaxgM9V9jZMYq73lTGPXXag+EON07VVvsg
9d17wJA8O30tbjo3eSRx9qYypNiaPjdRYi/pqbKLLwS1MKAv42E3OPOvWYDgyRmHb0VqVyc64495
cNJTukBerK2hvTTVOO1KFxaeijFrWRlhTkmmrjABxHtmrNYZtXC4tebOj1h3JFsExtmNQ17mtRG2
4xx1S3z28uBsFCQfZqWsMVth2zohd1vZVKgKJJOKTYXZgvFKWf5I2qUPNsKtiVhUCAUIdX6Yaz/D
/WCEVzm7g2vl5dPeS7lhZV5ZV9kc690Ay+u0zHyRtjWaJ7M24DKTYhWRrBDQhRggvUXAbUkTDbfW
byPbIKZmcrPwOCTWI2zlcI/6Tl2sOhTljoCC/kO10+RFrgyNBZYm3+EmKcFqkyzj7z1reqsbdG6D
ssuots3hlEwhhk1MlTAckK5s51h9iGYaDombcOZxgAf7kU5+k9q6h8btyQeMhGQH94XaJ+OQ6k1a
IIULA43ugYxKaL6a5VhCA1QWxSuozgbko/bYxxLdOEUsDgOGDyzZ/NERrOCFvKc6C/bO4Ar/1PJ8
NUmEjeG5SLp2ha4lbq6dUrVX0xIvDNhMRH7YLNDupdxViuAkergalAZDbOjtsKL1l2USOYzXCoql
Ipi3xDtrkJWDqOId6ZV7sudqeWrztsEKpcIjqs7wVEEWvssKKI0jnK5zwcog8uwST4YH5LmcmPkp
WuN7VqdsUuPZgs3STTSgbbCXBuh3IywXFn5inbKL/Cs5k4QWmPO0d+J53AzhaOxlyvR9SKr7EhFR
pADpnrJMaIG9b9wmRgKXFW3Iocy44j0BHzsYdbzDCOdcNyHrK2A4xkPV6+DGkst8ZkFB4iP8oNTZ
Sa+rviOmvCEJw7+Euof6BFYMXnTJFh2KdFpct7DCTm1aYdPLUq+7KpdYvA45vjL8WRPbEpuk8at0
TooApEpufm+rCu0/DZCntyZs8dPCtCkCkN0dBnLuX6dyyLItKOr8QuKy+kC46JnXlnJGkpEsBjzu
a0i485FMFCYUJngIouE0ejE/dcdfmxwBal9Oa13QynsCgsutJ8cats1Y0WQh80QHh9bF5/Kr0lMn
xu4SStU4UUd7Xm6mxs0A2gSxinLy3W5nO86OZFO2v9ptYKioQxa3fjfm5rNEynPBOVRaCwGfqr6E
QF54OLc9gcXx1LLNI+1mbyKkSTYtT+EfdVlCy52N+KEtIL1wpVMm+PEqh0hc3HZ+mlVkXLcuPpPM
eDCY5fB2M0FKT5GhiEqQxxKAgMNwixa2/RWO+NKyCeZLshZO53mgKvyt+JKZbT3lGBq+YQ/Lg63t
pisCBasqgsx5RgOWtd6jLiRl2Vow1jt7dIptjhLhJBg1XcpuWY6OqTCUNizR2akykq5aW8bb1FUc
7mHVGA91Eg7PmS2SW/LJCnCnXnuTLJ9/RSi/CsOjLGWSuT6UERH8YAsYYNDyKU8gyVt3PAbrb6L1
mnFrJB7qCsrEswfhFOFex58zq3Y+pJYxPANP5btj+hXUkVl18yGp4DHin+f9D+NEhDhneUOx9dqS
WxepeS1/CRt89XtSOmzFWxCJYz0FlZ5/BHObobyOiTTKsxBc2qTmDelCgPSbVpSnAk7h/d83EdY/
6iHWAHT6JVQ4PIH+LPHo7LBo4Lz1x8Sw5TkOeRhSDq/ZpLns7hniU94LeI9Yl9o3SJEBQ+OaD3vo
3X/V0Pxs1P7sZ9a/hEWPxZ8Trn3kH7gjQ4MAtM1lf3QyKn9kioN763tgoZJ+Yl/sUBCmIZ8sGHN9
5ycNZCrliuPSN29JXHNh1iiw4Rzh5Zla+XUYHOd2zGz9ZaLi3v+LD+5nbczafK12eTTmLhugn/9Y
sC6FPxoCs1EmoEyq2nucW240EOjprYEBcMtRxAVmjVzxBdTmrck5dS5qTb5aS93sOxRBf/9Hfbac
f258cdIiYlr/KN/5S+ObDJJrBAf7sarw80TQT+KtQql9WSbyNDr2+1sezctuFoKDJx6ooPKW5tUH
b8l0eSwecsiR508DEpEDzTeycvz7AOvbDm3BAogXjDKQcdf4bfbzof9v8r35Bx07uZ5/6dl9wVjc
FDTVwvPNn7RG7oCKuIQRfoQgRlqGn0EdxYo8o9nRPJ0y3FRhKvwfI6KQY0ai5N6w7Pcgb1+mOiH/
1qVcMtwp2Q5t1VyPKBlfx7atr7NFFFemWYk3UMupvgYEj2i4S9PgFHtWsTUddF2IN+ZDxaPkmISZ
e4s0h2RgXVGvwrO6UEAuKLvFfOWkVPOdHCZSb3jC2M5gPIxJ5z0SOjb/qILEJLy4dhxjIxTPWM/x
qHunZs3j4QGWxkRtbmiW6UuSgn9pcdYrpEsqnsSftTpsLnmP7Wx9poRr2V5Q0IcVcnHHzLxHRxQE
GOu4BcpoBZd8wDbGcJSekaSq52Qh9xFphF2+dWIovHOP3Wu8yJiIm5cpY3+AQ7PXOzcpUrZrpO9A
0Reg4CCquTjlmSLyhmr7mdATa6MkQO2TT/pHQsr2mIHsXP+PmIKekByFmSeKUQ7Bh3epuK9C04F5
UgrdchpT03dmmtdb1Oa84wRCJRws9g4bnNNcbWsGiUEyHrFiiXmk++YRGyD+gDoAwrGG26Ywo3ZR
FbYLBkcat4CY+V9nNOH7LuuzwzBSXZnFxBW59DQUpIgPzySpIYWmf1y0BTVkQgS77eYMKcT62YUF
W6TzsvDhc+gYD10O0YAdFUMbAfUnLlIeeiiMylPvBs27Bvr+7sxs8+CgsGPkti32og9IdBv56Gdp
MnifaPq9EuUf8QzqRWuL9SzkiLd+7e3qNCxJmOrZ+zpLqVkEl2TdkRBZnTqV07XUPqqiJPPvK9EN
z6aFHMWukfe4CkyF6dBhtdanrKdeOAF6PJ0vDHknepGyvenZnXIHOzxN+himD2GDdEax45BFhFaa
ewRdDAIcbfEPWalKmFWaT2VNplZ0hxs3c5ZjnXImShJBF0oijhyMLByhKeuVvTujVCsrW36F1xlc
rIkxiyKQ6ZIwGT7jFakvXsIH13GAHgBpu1ET1ONzgPp3A2M/OwTrBCgMaDcr+OFHP6NNDnDN/8AB
lCy7LFjaV6iJd6P221/7oafdNt3k1qodtammdB1I80trgAr3n3+1dkKGWAFq5I5kuPU7EFN5stZb
FUvTQkFTTMgNOaZINR/2usNmQrgE8ajDmDEZWZvXTBOcjufQkfdkCvHNkGC7ono4iwn9qFGLJ6xg
ChFwqVL0MtcRHh/VOpTA3ThfLYk3X+uR6drnZWhrRjBc3tI86sGYr52EiYdQs7z/nPhAICR5m30A
WfZMTthCktmOb/ZYOhRUJWyGyxB7bvQ5HjASg4/BkXS2DBz56NdB3pIF875oGQhNafqjC5b5euF2
YzXBnjLeTJpZWJAwvTJbXTzIFmbIhgIYcGRASTY0vr6TA6k4KYnDwNUnE/3MwjtCcoqnHOMkVX84
MYJDu8j4rzDdqB1Ipw1RcR5qBnfTriYUk1CEyr21C899pOAxOwZfI1KtvGMiuDiF/EqoB4Myt5/k
BzRmG01WP3+pDW7z2O7Kk7EOV4Tr8Fijo4/Pn5MaMhlNAgt89GX1QjThprIZ9siFR5ywePnP+c3n
IakLZrd1kzongpm+m0CZKZf9VVBRVhRLUpmkX31emggD9q3DaAjfTfxgWmV9aRvyRyWetEvQK/m1
IWXkiIGEmdqwjhMnTKmsxOm0osTsebgbtvrWlGHzphOKnQ7sz2Xyec42U8pHiJm9+zBrwRcCDdLa
KdqnncLMfexz7un1epbd+hhWcaOuSlUykQwzn5oX9wwQ/V6iXhAUfOk69aYuWU8BGrS3VTXFc2JQ
3wYZN++pFSe3eMgZG3Xr9VM4NAA8iRDC83bidfr1Wd4GiCr2SYFTq8LesQfkyxMJ0tLT59lAAkB3
HgJ0ez6PfOZODFFHlmi3fmK4HBUTcCMZUobIubCfpg7LcFihevZYDJ/IiyUhz8utp9YTiFaBi54Q
cZenuTTry8Ky+OLa3DjV+h2klIevSpF6tu/Ib9hWE4xx20nG53miTCaaIbiYTWk/GVXNw5bn2NdG
Be1r6pXxmfmFF32OBIE9O6fARn2d1OkEGJTyU/E0aSPaHCS7geYKWQWBAyurTcWNfejZjCMSJFQ7
ms2xeUNVyoB6YmYssphWoadwFh5UEZvh8o7Dnovn8zGrVyUYk6P5iki25IWufmZhbq8Sl4qwqjP7
a33XMbT50vpU7Qb6ujka8Tnc+jjYCWTgPipC1GKmN7b0eIJrzWCFj0CuebNLXWUE9rjyPIFgfPfX
RyV5BYDXC0GOa2AXK7F55UQbaidkyPlALgjTaQISrQi97nzth/BkhPSH7z6Y1EPPn77BH8aNm4U0
Ie3/Z+9MluNGsi79Kv0CSMM8mLW1Wcc8MIJkiKQobWAkJWKeHIMD/vT9gZKqUsxBfy56l7WpVCqp
UETA3a/fe853wNc8Y6in5GiYy+/TkkWW4Ju/Jh718zA4fGrK06w9CYwslSHjM+hy+N3lIJtHqhJ0
lkwtYWbnehVQt/ROcpaaziYrG8qJqkLvjVRyWg09X/jkE8SambTU3375tjCnAgzAQjN68eJIztSa
Q2Vfqm68GU1t2hRxmmwrMmXWCKzxRqK5Jarb4cm2aw8zvHISdapdxY1MetNmbAlYhXfiruOWC+xb
o9hr0aOa3EzlXAVMjKLRHpuq39JI4B0TWpyncteDj1YigsUxT2I6Girr3vF4MaxK/oHg3+qbNP5f
L8gvvCDglrmU/fWkklOwEk9ffrKDfPuZ74NKkhCYVFqI5pghc3vyuQZ8d4MYevCbziQN8RQG4Tdx
3u8kfSwNi3sWMNTvHvEfkj73NwwcDMFcbzZP84f8EzeI/TOKztG5tvl4LgLP5+Vgr727hehFXJPX
pLSj34VNGmwg5PlT/ygGep3iwPTGIxYy43SN063XgkBwrlCoFHIdFYDcvA7FwQSw/WAHoZ9Zp1LD
W+OCK4AMoqcw9PB/wlPIUsLqt2SVOUly5UQSOfJC8W9Dok4axWvd6w6LlN5S1Bf9GF+RuOhMoGKk
72mL2EfCwmTeL4sD0klUzhmVUELnOgwH/ZNZinDuXXd0hT6kjWJcs/btSHKPi8c+Dq6TpFvLLrDx
2kHeITYWsJCFWKUXSpsWHn0g4u2cCp3tv6vmfzbgB4X+t0LYU1KWX4ntefppwv/tp35IYRnj+3Nn
hKfSegMl/GfhBN5vJiuKGTsYRVQyLq/1Qwsb/Mb8m56AjX3o+5r6vnBsC11AwJoyuHGT34i49p/Y
qFiOP1/g9cBg4m56vkd0OMv8jfL4u+4NFvMAr22JE1rXKlzn1O+Yt7l/hMxbAAatM9tiI56soRab
UbN4LF0mAF/HEUgSPfykXDBza08cSXaA+RjT1cdR5bb9YAQ554FsjWdumtF9gWdomURYg8lM7E4M
KbobKDZaiDs7dRhox5p3YlHZxFZjza+3Whpnu9mCcvRSaodidG5z0VnPBEuFNOuYxDFTcs0OJRnL
/N7Kwt67alWjuCXnruypqQur/5KqScAVaWGzu8jJ6ERt1EQjEqcAIiOhW8vYs/pPMuUsHFFlFdop
sxKqvkYUYMkzvtsPzLgK7FJmScJ6DRfu3gAhvYhi7kVLkaSDu2d/5EZCm+WDa/fmHrB7vDXH9Eve
BNM68ZJ5dt9gHxgw32wBZoKet7IbN/VCJIPYuU/0kcOCUSVlEcEJnVgI8BnrztCexswm+k1PC8kN
1EMDzDhl3RBUTNQINcJKxV7jrBX00ouh585pCCBMGV3vGfs+CODadSoIH0iY8T7UnhPeiW4y/T27
jaWt0rZ2cgreGfmEHzl9HDix1xqMgSURbh6fQT0smn4sD25Q5ceuhhUDMQPPJ3UZMS1M3uSRW+DM
wI/qeO0hb7o0ZWQn+jaE9bfLMNLT7p3kwuzkbkolaRQeZgiMHOzUG38Kw51dFeZjrSzusKrV1F0A
n8kGnw4bZ2drup8/JMLvy3uGlIhp1n1J3Q+XnblQ227NPp30dk9hjvOnSHMnMZ6ilrKCbw7hr+Pk
cCFbe2lyzUJaHMr1qIfl2kUFu08GdSGXw10zoZgllRXBPYnDTMKuMG7EbkCmXU8PcAF+imCd1iFX
naEE0Rwju2ypeXcZpO/CMfdRL07O5OPcQAJMPi4+DgVEy8m23O3Cg5eVm5Lc43sC4W5HBDwLwcts
IjKrMT1Pnwxdqo3nJdjRh+mDnqftHs5avKb3nV41habvawdsPoebSSQ2CtSsJVKz1QjwKewxOdh9
TnybXzGVyCe11xuWpkmE0H0wmZ/LzmcmaERkNsbkeBJ1NmzwonXdAXlRum8T+QxJND+IxI6OjeuR
roxRa805tK20YNnadb8BHs/nQzZkUmi4sBst0BY1LdNlRICuQylIc4gxWwg6z20IBAOGyJAGBRXt
v36KZuMj0X/IPbbc+T90JH6DLklwU5kOfhOAljf87dNj6kwaMKKxq/eGZfVfqcEnHHPovT0W267B
i5N5NRynSCGfaZp9KZ0PjZVfOJSvUHxuA5xEqB7UXeJ220pvCYWJ5KUNKOpVYa6Yd60j5jUiwvTn
D/Z928DKm8ZTyuCUHhyoCFHnHWFvClJAaD+45CpAcC2Q7BX519zmEm2SOEzUQtx/SLTy5DeGsQw6
LhW0V9kEE/+EXBcxOMTkBT1TxJmogG51RtLgSUW59IJB8mzVrQEwEGif2RYkF2PR2/kif1EeYEFm
jMHBZbs89ALGCxL9lKy+LqVgtuIVq8K4jeLmdkhbQuZ4U6oqz6Nvp0/5vJtlfehRsqStdiRywr4k
JkHrAOdwOeLy3NRjHXzymvhR11rmhub4SnyQsYu8tmfi1+QLmoPT0tHC4NCTT7Bu2dZvOwvzHZOY
YJ+l3iV0xa0cOkJJOVcIWdekt2yJWPzIvkJI6OCFw6K2uvSMcW9YNl3WbXW+qI1eNf0Zz058scYx
AD6mXxSojpWdFp9obpnLNOivp7EgpYjKakxr5LFle2kJeOYTmhvferphSIbiUqvsJ0TkNFRjTocm
XI6ZEWyTtLvLy8zdmIUKP8hMnuq3pGWjS+89Lb13aBMvcm14alXw6EZMalFJ8Bz3NWoVUsZjUyKw
FPAr0i0ZXyGfYmOjko6arfTFS+mQ7ergDdvpZAbXoZfNdkD6vUWcD0enkfo5NqxLH9RXeRs/uJlJ
f462vV4B7GSnXUM4mW167dKyHUTf7KW15t/4rbVtk3S8kE5NGEY9RMw/gbB8zsLIeMxxmq6E5bHU
NBuKEaJ/j0T6ocnIOzK7jYMd8IjH0V80Q500+AureJlNuY9jolf7uOp2XZ0ehiTMsPHq5MwG2gxc
0TYcZkRbh4FHrihNukVl9/aLrfF90e7R/POkdPs2LuZWhyeaE7NUQoDlUK3RocTPNfS1pTR78GlY
NEqZ3xv2sCuZhgeD4mBNg2Btiu7DMLXnJvGKF9B3O6ryx5Q4r/XA+3FH0guXlN/JcYCHihnT2NhM
NEzKWEedRxpPdKnDpl71KjaOTuIgjtasCX9NZH0Kq76+cDXPyoUmurLGA8zONBRWeRNpA/CUStCM
pHdEIKyEvFA5KbJbo94QBN1fmXQNl4lpYtvsdYaKlnaPUXg+nhlFVGjWNd85S90zYfbl5bUe1cO4
ssGVMjSfVNpfylTz90GbkSA8WPc2JvRngpg04sOLkna340maL1ZuSLGw7Yq+LuesuR5IqSy04caI
wb51tuwurVPeyFIjHD7Tbosp7q+zMfnYIqffYLWrDghYPvqtnd9hfzmYmtGtDd7erChvPrO9ksho
TOETQmOxBvAm9taomeu0GuKtS6Ni4fs1CWTY/JZJO3wKIgzdpe5rp2iQ2UONZAhEX+u/uj1Ck96p
URrHVv6EB2j64EkYfVnvf7Iyp16iPvMeaKgkKy109aXpxekdrVd9MUq93QZeTu61NYJGtOdFxBeG
nQTiz6bxaaWlAX+9SLTFuki/1CJ7BnBPTiqO2Y+ovNd60MdnWhwOgByObC+tDUYHiSD2ncwSe1Hr
Ij+2ShF5zHCQGqGMToaZ70DNkgTteLQN+qC6+HS9Gcj4cX+LSsffKc9tPmoq2FXdNN4NbWRzL0yC
ZBmgCLhCo/alyfwXdud80zAqXPUi7O8TrMcu2TzbOhDTypFasg5rlwMiCVzU2nQQY8fUyyXZsua5
pIkFRcZprlKjVQu4otMVYWnBTuJOZv7evJA3Yix7/KVMp+vB+MAG2Y5rC4+Uv3A7vONbu4zajV3Y
GYdXSzh4A9jsSL/a2eTUgg86zoqJHn3uQyOxJ+tDEVvGc5k77jMeGlQoqoNTGaJx14ycggEe0MYM
2CwVMS4UwMPB65VGG5AUT8u8DrmoWKzbEq/+gUnHqqDyWMYIUiMM8KFBB/8o0MID8hiiDwG+H2Gc
KLSWIHsesCTh8JZfqtB1t/iinsGgN4uiqxEL0QvchwATF2p0Aszl+pZv7uCkJCShrKlXOUScxWj3
n4fO7pamqnuAhVBVnbzCWAziE9pjhRq1pJkXEndY+0a+szqTZBSRDodSl+tQWOc0Tq37BOv6FsSB
f0ziAs49dtpl5gUfJhVv8qERFxC1NoCaZ5CtFE0pjU7Cl++NCHZV3pgrkq6tFZ3zekXS78If0vAg
3Klce02+w2BbLAv0GwuaHcayAia+THDO+9BV2VJo/dk+6eIwElDcZvFnGXRXLkX+Rvf5mJl83Y8V
ChEyLPDjJ8VRku+2Sg2/WHFdwWrUaYzqI6/mXMyrfVXZl0AW9haVwkte9vdVPSGBdMFnFtxVzM6h
vyZLBCV1h6FoIuu5dgTJtONAw1YzHxCMYbAFzXo/dm2xxCsrGDJo9oIEOaaZwGbS2CF1yEyr6ior
1H3R1OMGSR90YwhmXzKBmWD01K1CXrwecyD5+ltOuh/ee0Z+1cS9DUgBMmbflK8UwDRP43ZtpKpa
4i40+UqH65Gx/0blfXEv7HROt4Y11dhlsLZtCh6z8QFoaml+QpZpLiaZFRuU783Z9cNnvcVCEmSj
u41lNmJIIfgvaF1jOeUelY9RB9fkWJ5LgEZnFJGEKTYQlFuRLWJbn84m+j0NSs5SufgwvGEYFl7g
ySvf8r5U3DnQMX0yffUU1e7WM9r+iqvuxIeRbWSu9vR6hrXStG0ev2p+0y8Mt9WvjDatd00mbppk
5ijEbJFx4wMlTvRNXXPFHUxhbVEFb83KwVmYpkcEBxyiqX7QM/+eDqY1g5yeRq9/CfvouaqwAPmV
ddt3J68K76tBkQE4ltFnTWOE2tObp0mslpHlXREv/ejX1UoEAeGLHJALhJHIY2m9Y7nUjSvbhv+E
+meptam+7HqFcAmKm37Owgrgg9JuUO0M/iIrRsWxkIa8XU6DBlNQHUPI9du94An+TJTHVwu5FrAm
7OWxZbbQIGy0eMxKCngVaVGtwVcUZ44tMo/Gysop8ggcWKGALm9lZ3a7QRsBlqdutk0TLRLL2mR8
TMQxnBVTgl8dJZB14dTNvez9fD8w7d5TWWf7wIvLrR2U5LtPKjoSRuVuRNnf4btHTFsF14Qqpjdl
ohmv8Hb7o4oT94DYkOytfMoOPfK2jSNtcWcTdLzyhfnEPT49ZSV2L7hg10pFAz3/KrqyRtysPfaK
k0GY3bpR47i1KpQJ6cCNaUDLvOnoKq4A5VIElCC2S8teRSOawaJhpAD2NFrR39CgfeMrtHt/6dap
tSZyPLx2jc7deTlR9UWPy830mBfkfGIUtqeyz8udSKe9Iwa1EHI4G0VFadHGHudxgF9YT1YQKi0A
ZTHRY7VTUgoJtZJEbuIIlktIEMsIRDSPa4FIz2Qu340kSGOO2MRoVffUjnv8TimBAsWwmXuza3Z0
WG+FU65zJMRpjJlo0nzyTDTAtV5O18Ua008DcPN5CI3Bn+Oakwi8CbrvNjgCW/EXdZYiKQgJH+vx
Z2kDV5DKMJujN7U6k+882bWZbSyFqNMFChn92GVNd2gr67VRCHMJISUoK340VXI22N3XI7PzGxAP
R1VljHaDDFF9ntMLlRp05CrpVlnja0dppzeJWZh0/4tT5HoPlQ/ElhoboCKe1AVpopvS0LeRpOeR
d2A9ayeeZi0bf5Tf4ydOuq+qqm/dqjtN9ZRC9w1XCpEJnQbuWqZVLgvmWAvZxbw9JmXMx5Z6PLIr
O3q4i6tcrBljggIep4NkpS7hmsED6zv2SMcQKHGH58FLnxEI7X27uUEzMO4TAtVWXCOPbNEPdTiU
SEXHNdctnmRj8pbd0JIBYmDjVEZvbnEV00pRHLyMuPaiNi5TqsHz6tdqIGgBGVsJbiNW5cfG1mid
SCn9jZkbd+ydF3OKJt7R0EHlkdy+fLmMIKKvOk1fKMVolK7AyggTeYiRjIFkK5/Lrgpu04h2MRXt
FkcsXLzRUvfwg248FSDqrg2T4bdOSKDjgXwRhPJRLGsoJLwJ84mX3hVh/NU3mnOrzGPmu0+kNm/q
/Alm17bv/FcxT+B0nxzT0iA8ty2CVUOCogFKfqWa4bXuBAkSWvY5BlS4bmzoJS2ZNJkJhw+w6Jzu
kAYAbkr6AbGB2Zxd6zM5iDciZoPGgy/ccVljpLpmcmgeNOr6ejFGubmQAxfzoZmIFuw5yeshQ0io
1xiu23GODe88ZmLusUbSzLxtST5jQTGW5f2GTk504MhyQJ0YRKejbWz6K61SYmujPg7wx9pin+RN
eOOzq3WwiQzhFJTHhG0Quajc7k6z3aKFgo8DfyO0TIolMAzabXjQWYVFY/bJJrUDo0GGwmfk4D4V
EXoDHS6Gbz+32ehlHcaYoKVr8f+nZ7/9Ws3E3/Z/zyO0F4oL9rm4+z8//7L99msUYTMo+KdfrN+i
1277r2K6fG0Bef/oRc//5f/0N79zJH4xwzI918Uw9tdDrEtcffn6v/btHyx3337wh+XO+M1Agz3H
owWu+Q1O/H2S5Rm/4akj54ZQGZLJ/+u4I6aNn2C8hXLQ/XmOZfPH2Q45XQ4P/T9qxWNT+LkTD3YD
XjJTNv4O/L0sj3nA73WUDQ+HKDj3dxpejEU6xRXqJ7NL1pEfFOvEdB5lMcyW/xriXl8/5pGj7XUJ
o6fqc255Kp6nr3ZxGwxFeZP3+gMaVO6rdU6jtbKlv1Ko9fbCQJlgT5q3SadRzlKOcz3bk1HF3KSj
FE+BVZxcmZ/IqN6GHWriTjjBEtWUs8iHHseHSF57vU/OBZ/jsvHqck7RnCsM1jJGYAkpSx2rQL9x
jdbCTyKfwCuOCycTa9Sgc1Rl8trmWOQLK5rWXuWfPWvcygQLQR2Vr0FWnqQxXMIRsQPx6Jx92amf
1I2d0vandkY6r0GkSJ6muqtWVaNenC6D2Wu8VJ772EztpsoxpWBetD7ij9nRPXYXXFOxhrehom/r
n43OesyG/MkjZmGj0yLURXaaP4GOXG/0e/lrOqPj26hLN1ZOkWEVQE/7CPHWIIe7yJIXvxzdpW+6
0V7kwQuZ5sHWiO1dBOgCM1m1V/kcyCRbPhhd52xPDmbcmzSqxjs3ni6yth9jKzsAH3oSTfpUKedM
5ShcGBZgKXhD0k5eubre2KRebiar45Zac82zs4OyIa2NXHuYa1CkUIdiGopFuAgJH1kEph6vMdhQ
s2sD3f+anflNOGLHxRNUejJP5qFkNwsj5teqbf4DUPY3stVvOlNu+1gdDR/dM9L0Y+1VGiqE+NVi
Vrl2jOSUYaEw+XJ2PgkFkIl4hzS4HlTYIcTq3BzyL5MFpityMSTwv+LAVlfCSQ/VpB6E3YSUmONd
oTurcSpJMokFlNMK5MwggzUNyRe/UsfBjBLuLoIWX+M9IgB7Job1OoCIi8XIwOjY7ZTTi10zDneq
cXZJwg2pE9YuKviO5qHBkrxe6uxeHTFmxWtJl2XJCMw6BB5PwqiAOzRmYS3qVn8oI+MlsCTNeFq0
TB7yA3CNu0b0d/aYvxawXZY6ZcWqL8Y7KzRieLpdvcmhJdGi12ASGQx43j53o3TPIKYeq6ZMEZI6
Zxr33gZSy53F+1zEo8ejaLkQQsS0o7qD3WKM59rU6s9pyK0MfPKEmikcbi0w+VAXonA5NbQLSScY
dg2tv0NTOcO+LVx/Pw4amNF4yils6+K61Oppo9OLPBQxF2pTy62Xzmg/T5jJrww/q2d8cpU09grH
P4czyVjWCn2dfAq9iusiJQYgmtRuyoesDB+KUSPvXNl0zyluKefj8GyXGSpVBEfZCBUB5hSJxsmq
7ibBwT6SzSJcFyxUMoro4FddCn+tOedafFNWZAJLzX6oNLDHHNfOeuidp7Gc6KuWJt0Axn1rQqwW
9J7SRU1k1KZICtrJUxXeGJ0DF7bk8Vep+VJBPecGXoDqGXTaiKaxwYfP9wbfYNErHsMmNPTVaNr+
Nc7EfjviMyDxynv0NPeM0VPuw0G8alIcbTc7/O7Q+RNJ9HvXNL5s00PXgLkXbYP3Pr4xSZn/pZJe
BkEe2cLqmw7T6ngGG3NSoeF+O+f/WoD9hzODOR8HGqoH3SbA8Z2ZmVj7vnQRdeIDGKoVtN6DmRPX
4Fps6H//vt4jLXlfM1YSERpM0JnT9PPpJD1scGlYVzvkfk9Q2kjVYTtODTkt6XRC4uGf9F+o9d9b
td9e0+fkx+EQzP//82tGVhnEPkwGrNpOvHba4Y6rW77E6bmTGu7b+f2S4nQULRvg379d691cnNOY
9wsSQvc8invvvaSE8DGpICOWO7RaXNKqwr+ZkFvO28WR4jTDDzK+yJZGTCaH4ZAOTJMFAKaFiKeX
mLyBqFTHPgI5rixnFwSEPaa9WFOz0xNi+/Zdk5EaHf2mSk+lKzaFM1zGInrQnZgkntE+c2fWlrP3
d+s4RJ7RFMcy5bM9/P07pa6pf28+mN+obaD0Bf2A9f69H97ME7w3pl3uYpNGZKXf6IG6KZRofvGJ
On/2idoGHgfPmcUN7/MiEaz6I7/Jsxrk9p7r3M1kJPZaz9mESzdIV62fnbrIwH42TDdepxe3SGwT
5JXRazOwL8+lSppRQBjmeESAFyKF7O+0wD3Dq9nGPtu9Q+YVaALmami5x8fIMTEIRCZa42RKjj02
60uZjQ+j4NjvzcQ+dBg21xL44tEuk9cwYR5UZuSuMeGttrQBXsNKPfhRv1Fdy+FNDnw8ObsYLs8y
YshEP248Zh56XrNXN97UWAvAdsYGyPVnMadJeQY11t9/YX+yw1g2+DRUU6g2CBP9eVUgDqy4G1rl
TklMtpQTIzsbvXty5aS1+/vXeo9kmB8Oh84I3xbOnj8kigp4Yczip3LnZMMFdPyhqH61Yb6tpHcP
oAf9zCY9EUUYkLGf308SNxmDKb3cVcFQb9qEJocdqpd5p8cFMm07nPOZae8CzTzLMEBkUOYHbQw/
tmn6TDOWkIVioI+bp9ZuSDnE44DdqZ6Kk2FEr8qV1tojBWyXW66aU7jlAnN+e5Un7nrw63u/41+7
LWZXEpEAfzvULYivSCYImnpjCnINraAxt+B7uoVuJq9OySPYJNlpGDPiIqJpCXWRAtWQVL/ESJRl
THiu3l2q0ozXtqV+ETNp/8mK5btA5UaMC9HEjvnzB0ZYImz3qSh3Rs5FYYiLZJl0PRW8lvGewWuS
UsC0K5/8c4GFbhm2gv6AUVx3Kc9ymJVrzS37jQyVXHSuUa36WH+UaW0xH/fUIhvcM1Ial/aHw9zZ
TEHDsRPVSEJXwGIfdFO+KFpBqFo+jBbVYdDwhgVUANTKDxOFGG2DuN5auYRyLC+R4878WZ5PlATg
h1xy2QLNTlfYB4Ot6aiHoBbDLzxVf7JIODPm/xlwVcz3BjkZNbS75IC71i9XlDjjwpP8dWy9J24o
+sU3wpzwj5uozynMtmbgBv7DmmxsayICvKflZ7YlCAtCwvwwPYScVIHB94O4msS4iQsSbEEQgCkV
YJSf3IwCkHYmTLiS/A8InFCwXFWQ8NIShjT5dAkIiBj86zxAJhAHVPtjWVkrq8bNmiqMThN5XfNh
zGMWWdlTKOcqVTJLV/qp6ck/GCtzSbnK7DH1UZA457frpbJHa5U4/IeByA6u1vETtRw2ddh3dGW6
eD/6483bJSjERLOSXVYdyl7eJR0XSX/GOqmGq56jJIKiCHezjX3BGkCEGjeNlhwsi2rNQEwC6W1a
zf+g4aIFCDE/kHU/bAxbtOt5GbWjc648eedG8wWCeDjWE/2hvKFa0sP0NDKmW3k1/7XQnEcIaCwx
lDBXyJxeRNetUHpxVciTU2JxZwlGSnE7tx/TeLhIy0a2VTmEkxUHsicOqoBmIiIWcNflBy7F2yLk
ZElwimLCVQ+u7E5ATD/HrSwPmeGcUY6vLFNMy/liBGEaYgyZCUeCns95Zz+agvHO32+57p8sb2od
snCQ1fJEvbfU5ZOVNqbtFLvWm17KdrjAAD5TX/DhOSzruf56u2pXXWDQvabSe1vzZUzYo6TZ2KT8
WFNYq6wr03UATMAfEBDQM0VYYJp+uQ7GftrlRqtxQcsKhGxgxQgriF7Ilw1OtSA8Q0Wci4TCBlcl
ezmKdOtsauwxaTc9DBblli4soI160i/HCMUAtphzH3Ex5DyMrYovJKLM9tL+rhvYQYXZXYTPlTTo
89PQ9xfb6RGZ5ySVQra1Vo1UxyKWd2jgkFMY0AFQ5L64rcKYUHcXj9vBLkvc88AhwiWzv7NcvKRU
853343z9VyX+iw4ba8FkG/3rDtt99xT/Xur6/Qf+oxGfheA6TSxYpuhWZ17UD424Yf+mu1wbHEPH
SEar9r9SV3prxhwHMPfbfojDvd9oiWAppe52vsGvfvQVv1/AaEn+5RXprX74XX2h412zLPZmndVk
wpB9d4uomiqJAQRNp6BUGkl8vqwnXA5geR6KwrbgocJGWw5RVB9bBzukMeETGRMesGnOjxaNrHis
K3ZDZAbrIjHGC6Hxzk1RG/CYFhVkUiaJC4sxFp6tonBJjrpo3jSWKACDgZ7jfUxASVHv+oI5BiFO
s3Bcz0PterbtFIdKpKINwGwYlf9q1UjA+p3kZjKSXOv1BhRSkha1lMaF3wwfkBHo9getrDyT1k1s
2ijapKBj4zHav/YzgmahzAw44WrdJfXJjOYFriYWYGHT/0ZzfiY7O942nqkspABueFcWZnyHIdsi
b496IKdR+CypK+781BYoaLCE3I6Vc+5G0ezxf0RMoML+KTDQziDrCLnxZ4I8Tj3FewICillhQJit
WR5SHDSOFy1UJjFXStDtzRGYVFEay7TkXhxH2aDtR1nJaYXAMJo+aKArlL7SoyyNNqFdQwvbmskY
99sBZlTX7Aw9ItwRFXyGCGq8uIiaxKke26rkW0CMSTX4LWP+3x3hFzsCLgeLZfnXO8L56/D05Wf5
+7cf+bEnzAufnYASjHy8b1EhP/aE+aL5Q+/OJqDPKAOXc23eDWgE/NgLHH7LeePQ2ZxNXFL/kd79
D3J3okfml0HszuWeU/bdZhB39jiUorZOXth6uNxsZz9ZBqJTR+WQXaA7zolV1cE1gsZg7tkgT1Ko
pqTrE9Jjts0VTfXefCQfIaNqyUV8pAWJpMasgWCiIaITCrtzeOwyUuK6CDhzXE/muGQjGAB3QB9e
jS4kq20PRffSYzj/VA7hcK1EwMr1tVL2zKQEdXgTCrlJUAbtPIHFrAcr1S88wMdbN+CvuKihWmL5
iCpKaW3C9WZPk+du4tGX0S6wDdWvxizVn+FWAaRgcJ59aTytuSYTdigYLBbjdYjdkTkl8nZ9BfWI
soiU0szbV5Ow1YaB5VhvmW/yu1bLDXM2JU43DW7KaR8RNEAJT6K9dvD5C3KBDhVUMpTThXVrImK4
Dew0uqg0G66bnASolIp8xa7iE+oLJ27LruXtioA8eXKQKpBKydhh3fOJyV5pthiJtbYy876r685T
9Up+W/2h4SQ9VZuJXGLrO2SobzzBwIF+X1qIUl9m87ZifdtiuonNxW6NisqljhoEgbTn/BJ8d0Jz
JR8/tnVuQxEdsGIuBNYnhLNOEg4jXecBM9C6yBMRLADxiGJT+7UPI5ySzQU9j/Y6vA6NSdsMIR5v
uXTazgIIgHHX665a6IVAVRvd9aqd3kojPJoCzcCqsdthfnCwJqoxddRGG+kWMrNn4jIcuq7va/0M
kyXtLCwAbTtIbgOZNLFRPEYku5jq05gQoS2+4NrtCiaSmVJ5ePu2iv/d8H6x4RlUHX+33/3f/On5
qfhpw/v2Iz/sPkQjBb6NReZHLup/aiDQ9zbNU7xuNIbngocG6/ftz5r3OCodKiNKKheF0n+3P/03
02T7DBz65g6IUOOfbH/vuzn8KVAn5xauOXND33fgUrgJPO22RiuF+zcA9glLbmC3d7/7TP6kBf7+
AjO/DCrFeYrK7YVd++f+hDJaLMlq0HatsoGoVAVy4F73r/E6s0H8/Wu9v+fzWvhpLSo70qXoU81N
x9/Zl/gu0jZAorKbDHRDuksjAaeidbAVsJnaLZJfNob/ED0VOB5nh8HU156FXfrcC/jdS45Z6zQG
ZpldwrwB2VBTdVeV6In8rLSigtmEQfuB89AyNzoN4FnjmKcQFitpltvG4ebsDAOBmkjAkm1Nsscu
qCAULqZA6M8lvLyrBknAtglJIpTzjRM2kbnES1weJjF3RzPaJjmi53ujc0t45bi3tbCgqps6SHFR
SuqhhRF7C+2i2IOVmdYN4sBbU7PV1yBN1EOc2eLBq6OTjsR/DemghCuSwy0wrexk24QmLNFZ9rdk
QhavylLVtbJkem/qGJhK4hg3ThMj8KBdAayglDu9CmFA0w/Y+gOp36KZ5JqYJHJWOqjWntFVZ1H7
NJvyzHrS80jb4c9qVoj/8XRQLGK4GYOQaapmVi8tJNEreiDjLcTIuF/ojWTbFb690VtTfEoy8srB
lMfC40bsTTKS7Sc6l87UXoHWSjde6QUlxHuec9Q9lY42xSrK51549ae0j/yPswLpEkQ6MVLzUPhL
6rcomYxAeDPMYKoyuIgJRpDBJ+dRx3LxnCGScpZJaefXek7PkLFpVF15veyPU1/KB39SjBvBiK5M
xi8HCEHQ8u0kda4Ty7iQla0vwzGdLjE643Vr6OJT4VWYcEa92/iDS/r4WLnFFzFX5SRRvUwirVeR
5TvkKPjw4A3FTGDd8uHEZZifmrxQH4lZ026tMlFXOrAuJjCjke1JINQZvSYp1iyt0v4fe+e1JLmR
ZdtfmR8ADXDoxwktMiO1qhdYloIWDof0r5+FInkvmdVTtJ7n7jZrK3YxExFQfvycvdd+cHC6HhF6
OYdhrDCsz2l+Ba2l/xorr/ucW0tkgMbXQUewS8MTp0Bt8EN9kR08UbTrl6owQd/4xVfTZp8Nz4Bc
pm5a5Xn8hFo55SZtir3RBIh2jBKkIWJVBNEO9AQoMxQr3TkzWsdmWE2bFAhk9k7vLOJf9j/ZUW9v
ktqbt8xE5X00FoKQDXXrTiNIc/rRDrc2T8/kioFCAJBlZg3fphKFqItrBFN7pT8vjdA1V9bFj5Dn
N8DABd2+rruXLlYnnE/3EOHSbe/qVwMzzQVoI4CDWSu6YFpvx9AbH0hnIBnTCofdXDp31Vi++HZU
iwOMNNyITIMHJjqVl6J2jWhd1BvSFqasWEHQZDunVYYpKS5zF5RlPwN3L6Snr+DYzNOxCM14xu1D
IQBTwzBi/Zyr0aEQnESvRrZF9PI3/Tyo7BEXVBB3UNXAJwzjoz93yTa0lA9ifU5QUOHvRX3sUlLA
o6CG2Y+D9vzXyXDiYOfPuXDh1TPChwlpzMFOZbh5HPZ/nQdpYtQxRQ4Mkp3doPW+eMy2k1VNwTTe
xp4RB8zBPakSiOsMErG6RaP7JppkobGbVYRua2ynUDxnPYO3nZx4R3710cai2OowlZ2IsEC98pCX
xFLJPZKm/M1wm/wBKQqsGbPiNVyXPn04E4C+H+HyIm9LIE4de88+udOA2nnUA7UvhRUDL/AQp1HQ
5LMmhAaAKk0fgjn9+U2pQ8AnSU0nVMnl//YjL3qY53784okKHlZlVQTS5bZ9XHbmyapHJLrJe0ZO
jO6qUzqhMkDloVED4rzmYQ/Y30vHWRyQg2/tfjRvMXxXWxeDxLpS5iK9Z2fAFYjCTz+4RrIzqgd6
4Gx8Iez3zQbfSImxz2m+ORSYV3wQ9sgMLepzM4el3vToJpMtNsj6GJhFeINN0XsvSsnnsxGu7NiM
lHfGmPv5Ogebg7/AAwnByejK7wJj2LNtUhsXOUEa+L3K+iEuQXeQLlr3wILQVfY8t8Xvncj/VIH/
UAXSaAl/2Qi7Tr8kafxe/bUZ9scP/VkIit8wj4ewPgShRt4Pc/cfG9/Q/M0xmU3gCCegkQByNrt/
7oOD3wgmok9GgOYPUzif4o99MEIz8opQhVHRLIUV7bIPPbBf9cQsKsq/Dn1FgNCFjQoVE904x/zY
E5OTAW+2UBb5187QSbpfZTodWndBaiVm5bGPS+ayvspyyxif0qlyjrDWkgaGUNi47z5Bb8IChJrZ
RKC53JWLx5que3aOBU1knKBszFaE+bXqH/DtHwo+xoN84GBRICzxn+LjJw8UDayo1e0ZBtl0byWo
eghqJGJv8E04KDN4hF9XmPaSfvX3k8UZoivh4I2hi8E5+3vBZ6SF3Rh9HZ89L7yqO5yEa55Za5HK
QDTFBC0NulKtCV5zZGg4IelHWX4glWeIdm6cWDUNPPwVKz34nBUabr3ei44GY1ClIJDrqp9ukwUv
VAir03sHI805U1aEaSqtIHsS8oguTLay1GvySACUxphCsrPhDdN9oeE8CkqEd1xwtVpliKlTPAvR
EG9b7OXlBmMYauDRMxTqda6IXJed6nteOsCvZi8Vjy3zTrke7cJ9b23e2LNjhIihu8a6tAHJU2uf
xOB4C2tsjLGW88lNHNPwlZNYPFqWkWqmgWrJYWthZhrJPLGq4J1imUsD/E6uwBKA5UzDKBIywTFS
8olIKbSPs6ZSfGoh8uO0lYbg5Z4lljqL2vHFhbYh673nz17zKmAXJacOsQc6e1VoUgl9NBO6reAT
2QjHXprAmoxPtug4c6ma+DwzEu0amTU15XogXUsDATA4dIFWmG5Mn/PpiDmCLz9pSaljEHSZLKw4
xUiurRY0Kshgphl55b5nYxw997MXPg80Y2LUB3gWNzL17hJCUvXaVJKTlM4OV8Fzuk69AggYmgN7
kbLcch5hfripzWlJjQKsz+QCZ8S1VHNZB+EK6xzrsEhO5LcL1n9OTsh8jOvX2PU5lDRGWds7g9gS
lpvrBIHKnREgYF+aNtNhAZIGUOZSPIJswHgIyajmU7aeP/qbehAFQniqiYLdy4LSneZHIJ3dxXDD
CU9CFgFwQ1IHCzzDyTzPsfdssB5exqEpbgltIbULReKhNgonwDpZ+e8VvduXxjazCT4et2wysudC
Htkt24eRM14WUT6fxOQBJHBrP3w2qDG6O5Fqw9u4g89tM7Q+p3dMS6+9YYlz7Z1yaS0V67KXtqUZ
KwaJRn/DHSm+0LLi2qV244zf52zumzf+WGbfG+Sl92lpwuvyFtVlHXOPKIGsbJ3UlAvEInB5yIiX
aCSikWtLQVSUkNHR1XBmeLj8rOKhzBlyRzuaN416JbdyukeFwYNgaJ8TnAo0Fvsc7NLZpY4kUGhS
7SEeMhCDWSTov9muPCCenKcrGxMoMbQIc8stPldyjyyeNmSHNKlKPOALkxbJen2ukly0j/RwDOPZ
6H0trzqiXNrbmdB0eOAzItwnXY5ziOvNLPP7aMhgbUI4xuk7UOPoweEFoeeSc8kwlHM5mSOVQRgu
0pnGBMEQFZjXdg5vleTU0PS31z9u5JyRAlYwsNDtxhuWh6Jr4Wxh6IQwycu8Fo9pbxAaEFhB4r1O
BR6LmyyChQa7ziL3zbdHi9jJIIvRXpQc08jjbDr4Udxmn1qrhV+5cnsY53YUdPlLyxuCFHskj257
U5dV5SGkj/GZb312hCijcovfxFQoOynpc827orUuWaft6SXoI5l/c/1KCAKRZhqW29KEpHFTsv5o
CQQLBCX+Q4EHdEUAp2keE0Gw0YoJE1JXI41NUgjw9IPTDLBtmuGrO/TRutbWgz/E07jGndM/kSNh
bLG0JBtuDFzafZwc7SKMNnaEgGRVpigXLNua3U3il+6BWCRvJG0iY979EidOj36qIUiXYNFmjkDz
NPWxaQLzeemdru3S/GRUQ0oGHCyzfIbikCbjFBysXMSfCxX536YYr01ltdVNV3hX/chGekuM+oSl
xY8/ufYAQ4BFiiRhepaBjKpPFprenaiYiKzpeLors/Pb25D59tpv8kWMpPPiOm3i4klkysccobqd
XnZwxjBN66qF6DiUY3MzFLq8cp0BiD3tAHRXAj0qttyHwSluR9+csn0rlbOTswRrkNUYpdI6fWAb
WTzhX1TxDg82zGoWsE2RS30qjDDf0YxKV4Nk6wkX0ee1N9j1I4tO81q5ZZNsMqy8OwzC9Uviecup
LYFZBh5gozUYCmSxWFVWcToQK0UA8/e09dtN0TvOQWhmQ2wYBTgB5TubxESUA4macmCjCIc7S1XW
+6CguYAywCYmMJnELnatO8ygzd5kmrRp+Y6v8P0aZDsCgktFdMKwnUu/v8jOiR7CBhWZQTjdzkVi
tjYyQwe7efa8i5F0EoGyOx/MqpqP2JjCo+7ycTurtkUo4PRr2c8Z+EblPQ5ARr6aID3OZFsiVaxa
XLe/rlB+KubIELL5r8XLKCQi80O/TdalHWRL9jktc4grtAjW5mizCJFVi9MNvN454ik//PqoS9Xz
l7EqhZiPSMGlm0ml6zvhBxUS3f7ET0Y3PGFkbd4IzODF0HSCGuPXx/nQTfxxHM/nKDRx6FqaH6qv
gRZBr8I4OjmEFPNONVve2QsU1Z0iXhj//sF806StR4HMZPbDqbR4htkMk54VFGwT6wVeqYAdro2U
0e+vD/VzIYt+i9k0tbi5jL+Xv/9LG1HGod8QvuydEHpbl2qBIroj7FkVIEZUuCL+4S75F8dbIFO0
nmFOIej7IBu04KvUVVG6J42Q+/n3JahKTFYMt1JUI9BZOL2//o7L6fr7PbJ0gBeZ4tKg/alYn8mB
7MK2c04gR6mufECgADjCiBW4mgRroEOX1F4b5cCfTSNj+fj1B/j5Jg1c+uZ01n1Cs9yPquW6cqQ5
Fbl36nv6rOOI/2Wy2O//H46CTDj0FuUDO5O/X8oiEiMbfuWdYsidZJvT14Vx9E+6z3/1XdhQBuh8
mQf8pJ/1GC9JvNzeiYyBYOMhzFzDP/0/3CZIC5niBux22G5+uE1ySVOiIa3gJCJaz2mbcFMM8+hP
2znqrAtm/0H/w5bu5/cX73TeJnwtZmcc9u+nr0qHaB4LzzkZKOFeLYaMJ20OlCJQjcJtBXBWINDU
3CK/vmw/v1nQ6mP5AKW2UNY+ftUQdrKp0RcQ/sTTHRHyfe68RbCdgfj99aH+xVfk5kDITg3us+X/
8LL08elzqFKAJ12AmKVVn7XCJ02yK2/sZQc3LXfNrw/6r76fFzCkcJigkxX34aAD0GQ7YZJxwlbR
HqpF61KYAcIPc9n8/PpYP3wNf3/UF8+a6zgO86vg5yctCdrA5H1y0q2CaJpZpYs60DeL+2bQ7aWG
mFSRlkGZjMeMXQW1lroMkgCRHeQyh81F7b7DcUZ/kyibqlNXRXIb5B4N5l9/1J9fhFDNsdfBShYM
j8SHBaVC9ZhCS+QOL20OlEYpg4HJYL0cMhKtcShT1v/6kNbPz25ownQ0WZ4Jfgt+cjIU9Esi1riT
ERjUuhNThWbVESnyNWgtlsykiZb7PUuti+wL+QYHVlsbOw2ne6mELPYy7rXcUSWl+w68ebL59Qf8
V+eENyX3ioXe2/xoAjBp/eoh4KkvdUDRbbrZJzgz9kkVjBgw0cJ4+fUBf7o3PWZoPA2LTYbMto8H
lKlaiv5ZnwYnct4VQwkiqhe5FSs7u/F//2D0jWB2ejhzfro3Ay3ow0PZO00xroOsInwKFD67HNds
2CX9+mA/XWq+GSI4LBX2suJ9VGeXuWE1oPHmk4cbDwFW2nFn8SCyS/z1gcQyaPzbI+fxulyKB/wU
LOkfKyOMPunkEYdKBdEyODHZwxG2Gqguf4qwMqtzkw10QpyYjnSC8GJiR+Lb7UoWyzJYS3RsTNMK
bANsltbKguyu/bY9mDSf30K6XvbOBOHI9px8bb0fBeKPriLp55+GuD/fDMBjEQeKhS/LJHy5O/9S
CqUInRu/VOokkEhvxqqvz4Bo0n1szv921cX0d3Fn+Q4NW9/++M5HqSy6geHhqUUuCLM64/vLWoZb
Q0yLB2T6x/7hsnr95SohSOV9iJKK/2Vm/NNVgjtnW7J1nZMnJ+eb54nh1DpR+PyjIeL5iq6O1IX7
BNhB/MNDJj7eIthEBIJHz+bIkHFZA/5+Zp0i6lJnTLMTDkXwLxszC8AQ7mdCWmyxZJAHn0nTyJ3N
gMFdXcK45gm02zjF5jUD1gcoM9+bfUkXUedLv0a2/rKx6Fv+/ANT3ZaeyvY9vx/LzmxU/KYxxfBk
oN+jcRnY9Z2bKYyfy+2Fd5nqYQYq1JyGdm4WSqGabt1xojWmopy+X07jKFqlciCHPYhJu712TSNv
N5C+yjtUWNml9TpjPzmpd1vPKIX3NUG8JFR1BKGZvhTmFW1pCE3Kd6FyJE7bXHU5ooi1XzSaBJBZ
ajbQOj0RLGGtoc67PZkQOPeJh+tl6nb0vs2BTDxbZ1XNM2NlNI/6xiqsr2Mb5DTFDWASCBybpRlK
GlVyO8wTf0ZcpesjPlGa3iFyruTgDTm7okpq/lZL/4/ic8gjOi+gOlhsZMOzlsBzIpmzAsW4zsEU
sXGfGbflxzgwpvtm0mVya5dAnK/yWA7dnbIVF0Q0Pk93bZVNfl9rjMwbYJWW3EE6me5zUwRXsefV
+b3fWOrrpEy+Bbljrv5m4/5wrltpLa2oseAyk6/AD/LV3XeXnCD90Fiwnba5yJyrYUnWoqNBANou
zbt82nnANUj2tmY6V0jEaYQH5ezZW2QY/MbeSyLrsx7t6iinrDcesJxyaJlrVq3QBN5JHnNhK3FT
wYfp7q3USBQT1JzGK/tVYiLAZozN2jCgkg9Dq/x803cD3NOmIqfBE7zCXU2cxamqBjYSwsc5fuUM
kTUeE5IVItZVa0gvIC3paQVNr/R+KtjDrgQMr/Ym7s2pfbQqTC2EXbjcYFWCGe9ipC1rw486gJ49
dx+pEbQaEq+mb2Z5vj2fIxohAR7UuZ6+h52GDaGH6fb3Fpxb9HwYO5msRycT7nsaJUm0VUx5Ycz9
eKw8oCPcobx7R58A1vfKTWm9je5sPVqTlaQHur305kW3EDJaz+UuksGCwE8Kl/Mq1NIztzPVf55T
Ekd3PyTKv49mrMB5j1x7KSRih9ouqH3nvbSypRPb0p5HfMf2Z7JMOvA/lj/f62kyJvSu/CvXZx6x
ys0UsEwd5KY6lyR56n3ZGEwaitnhxDqk/9q7LMSVfacqyQexTHonYEAEjjptyelTD2rHgCjpu3l+
H9R4DK7dCXCJl2UArICrpfO3wGCSsc0C/A13s9XQBU5mamOb52/0S9ZjxgBJvUpoV3CvOExzFtBT
Z/svFOZ5F6/ctiNTa1WAFAPRE0V6sX4YBebyolV06+eCpuSODpoOaElkTnQqTXOi1UaHvAtokOke
i9jvK/5/5qT/MCe1QV2zPfzf5cEPdd8l/7V+b+sirf6mmvvjR/+YlvrBby6/ClCHZy49CuqDP4al
gf3bsmwt0v0fU1T+5v+L5oTpWvSfbNsjUsZn3f1TM4ycmLmmS3vqTyfCvzErdX9szv66goe+i7GB
kgFnA22hj02EPhV51ZLgd5iYh4zAggG34/JLQ8Q6WAS9aun4VXEW3IWpTTdesJW7jB6uqaFIAuBS
ds9kIkrtF08l822NTuGBN1f0CZEuIjW0VQ35wNo9NAzfMLVyjs7p4ucGG1xPrNLkk8D4mTIFqIvG
zRXa1eSSWzUG8wJJ3ImtQSG3CF1ihgAQmS0gsF4ybfSQAW0re3rzfjg7u5yN1k2CwOQ2TyIHhiEA
ga0pqfPbaAafzCWo0BLbiUiOw6RIfahn71oYbdTQ1ozsY8+O6TTqgMkUoqYKYJwc3gjp8kH+lFH3
jaNYw6qF/UZUc0+XmvfvonHwvWLe/hj3TRFeZ9jSHSTt1BgBN5jMWLY2I7LvKRf84DJ2ufUqwoa2
lk6jr9pzsWzl1qheGmRD/F4+2Qt9duKbRjO/D3OGTiTNJjdjH1WPxE/UN52Ct3Oe5BS7G6cHhwEg
0UcjVZSFFa1NS6I2YYAT3MECQhyH2wzhsxUBXzVJH5lwtk8+RDxNvkscBLdRgfVxhfnLtDbgUp1q
ExZjvfODkpAh7TMZL5sbOFXhrauSNLkC+uMeFOdvN1BZXsHhlHudJONV0odiNyUDb/PUreoHy5LB
nYHxGFszbYFwDtxDaWFiw5RmPUZ17hzZqdong8TNIzzg+iZv5WA8aKect56fWSdHjSMkwbx3MPMJ
Vx2QYQHU7S17x8ZNfkY9LN/avhYvjTk7FC2wMshfjYGVW0YZbFvUO94qYL50NzXk38zY+B4wtcWI
WfQU4xRrgVK4AzFsTLuAIhaGKzYdrNR38IfBOldWeNU0th/v+tkkQGHKqvQQ+QQpEZ42475Oo964
EqiKxvUo/HJrs4TCrVR2mHXHxM3pEsRj09/TtnTzq8SewlvCMS17RRyq91RZs3OdKMMcYwLNgYGD
2ctApRDN1Gp7H0+zGUbo9TI8PSuDE0H7zU3r4E0ONdPcjoE8e2vPjrg+xjissAr1ctwG5EnsYkpS
QXQD6Ivu1HlNbx4LKef0RTQqBI7NfxbYuTBfGWkZD4TcwdTIo2u/LIdzOnTqJZHlJQrt+Ar2YRp+
yVwjGygzKNUc4xSXpg/rHPH8E5uedJfqGdeP7jQgS3I/TY9/7Gw4bgRGjM9pJ0Crhkl9rbJEbhWm
t4yilIEvQ0emk4Ko5Zx76Jl09Ng78Hgb8FftaF+3iCGYJdpls0Z20mzSTMiNl08k7dGNj7+S+wsr
dWZ571dDL/rNTN/hzOA4O9Y9EJY5rCgfg6suU9ExY/K9DoN6OrFp6Lc+WnNYNOBEZQ2hx3CMr67m
TYMCYy0j6qqA7F/SuK3VjEj/oubpodMq3gDd3gdd5j5bbQv6uO97iqa+vhkD8x5himDsi3feUBgN
Ywdo61AAxwoaD8NPpdYKBevZrBr1LZv9i6lF9CbbfDxMoyweKjp0NxnblfWcAyYkene4tfrIJmCI
rdxIXNne8fQllcG8B0ParROiSnezBat5qe3WFgCBddq2dbPJA/1Ww7lbYJM3kGavuzGPoBgm4E3s
ukXcWLW7zDPM67aNxhti0EnqUfXnkLftvkqtYJtGc7SryShAnuuq9YLJO+ga92MxDMYpwyt2hgVG
ui7juzoVahNT58EqnauNCHvwZ13dvoyZREJbxt0TgIiOG2M09nE7fYd7VuznJJu3XTtaj4Mlok+w
eJFQTxFzCS9j9I16TZjHHm1xfrBLxz1XdG93YdguNV9coy/uc+cURAAKJsPw73rytvapZmnKSkUr
yXVK7gpP++D/ZIWZPNdptg1k2t2HSkbPoXR5ZN2SSrYG0gueUn6GG41GVmMUeW38otxZPe77KCUk
uVRduK/10Lw1uDVewjY2th1p2+uaoIRLFYj6TG53eyjtMriz+QuCpyfjBu/9sx/L0lxjuul30Pu9
C3nlFmkMU5dbyAOz+CrMy4AY+8qV66JLiZLIBTbTlfRSjUajnIkxc2pkFJZ9YVqLHrVMpnZlNEsv
vo6Cvd/4Oey4uNi0SBVRmvTGc9eY6oU7roJr34/N2bTbey/K6jvoQObFRvSxCTrOdF9wGzjjzpyE
WlOqM4AUoGYG5RjkKPjZNxvs1re+RA3iJfai5ujQT7IOevOp8lmx19ks3Q15Y9ZTTcDsfRLmwdcp
6ONtE8qArEfxyQj772laxa+YNBe9IU4W5bhPZFEZ1zxT+Rpt9rAaLN5zepbRU9w6e4gsnyKv/xIw
GNjrGtYuGdTD2k7nVwKgQibotdj4fvsuS0bOg20eidLMt60lmm9MVIdVnhn1hgFVdhgEDC+4vLOz
1V5k3RbKa7doVfO7yvIuVdxVVzBB+m3ZCROkKK6+jnC7diRGzSr1JZ67aNuUxKBlySPcokV2xtBM
26RS2UNx8CHGbpZIXLlC296BTZBLMQNXtcMGzuTWsLdom9N3keePhvAAbtF0/JQIIiDqNPC/tVZ7
3w/W9wi7ctDCOQ8N/60qwPyg9MWumZv+KZwjfdWYIKJ9W77VMeZhHfanscoj3p1Nsx3I4aKpMNiH
bJrLI5EmR3fZhGee9ZSOcw62HVBQlXrLFgIJvsgWar7J7HsomlPdTQ+OThRiF1rZxUBSX5Lprx3+
t3Vn9/UDnJ8BzvaPnLuSnG1sOsPWpR+wmitV7qaexllrBF+iWLxaaBjeTOnaN/gaULsE7p20Ou4r
90spSqIpdA+ZC43nmdzT+txL8c0vxzV1wVcwKVAcez7S2qrUeAgaZKjKaZxtKsFuD6Qg7qlY/HvL
mGM2j2O2M6keb5DsRLdtVJ9aLjqwy32aAKyfycZw/YZbFOQXBrhJbForsy52kz1NeeOBYcN62dDT
wXxGAMp9n/T1mnSBlT94fDtsDw5L+pUhlbdRnn7uSA9bik1Ilje138UEi4aLfxaUa3yAuFWsEsO8
QYVzowuGgUlHEDbShKwpPwFSI5lQTY+j6m8bq7tBZntNtUZ4CgpDnnsccih9c2rAPl7PGY+5GxTg
QF07deliIOG7qgiFvvJKWZHf0a7E7BPKCBdD34q2yn+f+/1n4/cPGz9KMXrR//u+77/b/L1S7+qv
+tjff+ZPeWz4GyNoz1wmfh8ojKHzm2fBZsQKyv6NiCP6639u+bzf2AmC1yJymoHykn30/7Z89mIj
59+GV4OPKsBz9O9s+T5KPi2L38a8AH6XhaCGwcjf+6YypUPRiN45ukUA+9k1hktbgXzWUTKdihjg
HMp9qHD1OM5f3VrRRcmXQob5ynhfU1etetUY7wTZmNc5SuCLriJ7aYXAGfYar9rEyvEvoNoU/Nch
fSyVW+xzNADHMvasT3UTBduCqPUT/d1tx9r8GYtAdpgM3n34tkaWNkXM5BezAZeRUhEKHCa5eGgV
MQEhkQX0qmwMqzYhBFNXXdcuALewIGHIgDd8soDSHqu0ZCNSGp69EUbsn0qJCWgVFdNN3WB2bYoA
VS0Z6hnbt0ncTUYfXvw0N6+tOTWvZ3um2zPUttwJSOF7qxbxqwVf/2IZ+a01ef11hJhTm6wGForX
VSUdQmNM2djf7ZnalzUbx4/FYGzdlm13y9bRwfyAHtZ2XPjrbYHP0y3M5us4chC7tRfqDk07xgP5
k3QyWHH09bJ9U07ZIVQLCYRCYGP6s7XuGIW81EEa3XR9Mt51daq/hPM4vwK+t+/iPJgP9py1F8/O
pjs6EunaFCLdycjtz+bkyc8kR02boYr9XTMUA/DwnK/B9Gjl5FUBTmSkdZs7/VcjtBfaDhC0sDmL
CohQZIDDTwtkwWaNGsmNrsu8KY8M/o4F+n5MoTXunaGVeykH93scZjXokS5l9gyOxGM/cxRlUt5a
2tdiFxpZfuIlHRnskbP+3Dhz9hzP6ZLh4pGknnrNiYCC8aEhee4xjJz0WoNiuMYIQjYllpf0Jeoc
Rei0WTw4tdPsy0VdvRrZAx/oz/kwnBn03Gmiu69jOAG72fcLZkJN4N9XacN2vuoYT6cEtF8xfTRv
qer8Ux13XgRjxim+9NMEoNzz2GNMvX32Oga2ZeOlb33gp6+ySRC3xI17VwaFPkxIgy94Y+2zGN36
wM40vqFuU4+ZtsP1VCqCSY2eVN9opBFSucFFyEa80U/wriWtzWNqFc0hywog9WVOYT86iXtTNONZ
JKPD7cig2zC7bZ/EwCz6gFplJhpmSzap/y7t8Zsrp/IYz82wKufSPdYyctjIo6IAoieebSf/Mo92
E5Nm5Yg3P6ge68HWz0oRhqTNyryrUapVKxQ0xsk1FJ2FkBnTJRlgyK0JzJDvKmqzWz/OSdJxbDv8
Ahsi2VcDPxTrtHhC7bbkZzMDZghfnpEtgh8jRmIpMr1N4BTlg2+r7jPiJKpqqt/Hrq6OsRjJ8BnZ
dVSBB+we7DeIoCy/Q9xQ3LtRcfDmsWPiqKujk5f1RlH3r3pelm/wn9OjTwW/I81Hbkg/nFYQfbJ7
3DDON00059qm9b7WyeL+btz81TeN6cmvGuOuEWW95oL6JlS7XGykZzX06Cekd548y3YIsnUYMjfI
yn2kRvManBij6uJuINLwFaVtvcnpqN1lZmwfKjj9al1AgLigBWq/2KRyLBDyDaphf19b47Ql/aM3
tglju1eSVGWzaggNZvzsz/W20nN8o4ln32NdQCoOgcNft8PkhdgGac/E0UwymKZHoesehmsYDk8x
5Sx07zwkf6KNJa85BTeCzTp4Wtj110y4zC3y9ddM5G2wimNNIn1BIA5vACxsbeXBrU5f8IHRGjCV
ua3NDLFpltefCw9IalQn4Z1bBt5RKXcivSw2uru0M3KK7gpZVaPeSXib9szTg1tTeWUHSsM2L0za
zXUQLaHeIii8bWnX4XPIqnHRTpK8tIGTUm0Pn0INYJ4VUVPrqOFCggmBysOYXanMq9ZM28Krsnfa
WyIu5DWZ2fLZiNLi8iPdGE96TN4JzHktyNp2lbRfmK2Jg4eidttGQQ0pIBPftB/318j4mnfHlsvi
0mvAtPjenzphDcRBpXm4swF07wl1ybf1HINbt6LklokfL/HQWcJw5fRg9pz6irDlzTx37AomEUBJ
CmEETEWd3Ng+bXebNh6Fu+NKriwT5Tm2ezbSU3fMQ908FX20T60m2+YU8rf5YDvbZhgwcM4koWfQ
bCuH1HrmT8TJXqwhFqfQivNPoyRbeURmwO6I5RbS5nRWEdE+mLCnGndGG5JY7qWbkobhK62L6MCb
KTlGndjMwnNvdZ8ZXxrHN09NFxi7kiysGyutiqPrkE6I11PdFfMYPMVjEDFdk+ZDQhgEh/MjEpFm
w9vZid9e2pm9sdLzF1P3vP7Zy2tajpMTs08bLTCQAXpcUrlcYtdhgFVtSqRIX49uaaysaokhKvPU
vENR17L2Z1n82LsUIrRPJAQmMmm6OxkTUVKjacdZwX6WXbhqxwoLXCC/h22TH2k4i5UzjcYVKP0t
+EqC2ocqP3Ru/+a2pCzyrgU+E/Rj/znvvDc3Td7NqP/uF/qNrs89BHd8bprxW2VLEu8rf962Mn0k
Wac5NYnvPw5NLp7zbKy+IPCYXtqIHxwqvCXvJJ1Aej81Md+iR2lORkq3h/AELP2aUquKvZUWuemC
sq47Zwv5P7maaOxv+nHqg1vZydl7pS3+vU9n4nuKYeTCYbwT2Juxk6+j2tz3iP6ZTCVNjapZGvVb
wwuU2iscNtYUETeUk7B+YszUbtSYiQ1FXn624rk6MbH23wjwkp9M2nkZLeOkOPsJXP9HJPtJtC+Q
SmO8m9SomXDHnZt9JXlVGU+uBHa8tZIBSXdtpHl9lH5qbyrDnPdtWFe7wVMv+DRHoJG0F0xabZhG
nReSmMaDlzY+eq+uv/BvLkNfn3ISj0faOld0g3E2E7sJhT5mlTF8PPPUIk+VToptAr4EilpoPCTo
168w4VrrmH7oZcBOemm5mifd4alO0vHdyRG3tKFnsA80+r1FXgqdy6XcsmlxEmxnt+c0PeYRoYge
ydB11B2CAmoJyQvpXjGAWRPfeQdCXG1Qs8dH7cTdsY8iknFKkZ46M77yCG1Ym77VXOEQ7jZz7MtP
vY02Nphc2rxygHbfQVYmAD7atmkB7hd6z4SRLGchixq1WJeCQ282OA0KUe4JXTC/Q7KmjG7yJp0w
LWFb+x/2zmRJbiPLor/S1nvIADgABxa9iTki55FMbWBJJonZMY9f38cjqRJJdVGtfZmVyUoSQxmJ
wf35e+fe+0ZArud/aM1eyfZz78g6c59w8abiWBNPl3B+PB9N/nOI+5tDHGyS9ctTHBPyfzO9+/bR
P6Z37m94UHqMxzwXyBax45/jO+c3gde+A1Gtda+OYEj33WHOxz8BeMkUNh/jU3/M78Rv/FGUkHg6
uGdv/X9ymJPmT3gREQvAx7RRqON9Xnj5EwQjs6kumrzl+NT5YHdWkMVM91sM6jb20AQTPcoK2wIY
4hgRCSEbpKHbxLKvvaWleUntBa7BOKRg+3PLqD4YOeWKzptQhbkyY9G+FYnrXxLKjsi4hJItXeTG
HWMY8o7stH4hrEoch8QCABhTjGeouZHTI2X2LxHq4QDU+vRMEfI3W1IdGdeNVEuXVmw7r0RHWNcF
9sF0UVlCPXYM26/2di7jZttmhv7ImbvI0mS+tesueO6pCtH7VRq27lp/uo/I5Ho+G5c1kCvHMNOI
Dc61EhrCVhg7lkiRfHJJZEt3CRlVrgoogrO40lJnIZGDpG8mkYzU6j7g16gCp4G9sCNwMSQxj7hT
I8vTbEZZGv1BDLF4WkYsJBWd9EMrTNZU4jKs63d9aCWR0r2LtVCswQHJICXMtQqW9i1tMHP/JkBq
czReIcDqahINf8yZIGcx2XBf54jP4cjPF3CtkW87EpF2awoEifSFSjgUQYm2wippum8cjbmR7A2B
lJp6xJq7zGn70RTXnkNKl0LKcC0yI7304UhWzZiQ+BYmw5HCLOOgLPnMO7yOZTuigwIFlrfhueYK
v9/QHL8yEmISwC6713d4mBF1ckvb9iNG7kjCxioE9eKQDjtjtuTz3BksrdWqJACGZv3AKo/DMXbW
a1ASqMQRwQlpTGeiZUT+5q6lgQxzj+uPS5xgVsTmh8ZrwTKwgzCIpRqXr3GoZWfmoILnOR/vKUDc
3axikhoJLSYD2G7TO4mxkUNdUmPpahX2o3J4ALWUn6e24EHPJtbk3cw2jj1BaPNXyWkn4ZvwEHX4
QNzGZ2mn7AaeBrtpubOB6Di3nwe8vmMBFyH30XKQqOXhM2xgjhAXSKbQY9W90d5huGtqcWk81ryE
Mpi4wTQdaMX6QQRGk6WVonWOUwfTkoB8o+3AI+ph/KxQ4FaB5xyISxZHPW8Ta05sfG86pjBpBf53
98Ik3nGFkwNPTGj10E+Tw4/E/o97N+jnZIbeeqGYQIIrOnEsXLSEvtXyH+tqk/6layNLYzC7n4ch
2FaOVb0QdxQ+nx/hxEDKOGdteVHqlz3VD2mopbgjwX49Y044yTNpWixMPJwY4man9S3Pwg64kJpg
EWvaKzwwvURNmFM+8QToV6LPq2SvC6l6TRYkN9tk4UispH4nM2sXKz78Jzwgo7EMnw3QLIJ4GRmW
6H4ZHOcofqnZS7jJxWZrz2OXqSfySn4dkyHyuyq2NrVM2jdNHjCMpMm5yMi9ZC6JBHkgcWQ/Q5NR
R9qmQDlVBpdjmQeXS01m3qo7y0RKsmQJPKQdRTkj21jcpmdiz2iYAW47dKwbE9j0AMVkApGiz6Yq
N2jqx1it4VfA7yvICBh3Szv3+FzwUgAbNhx6VtTJ031hl2N8P7dTdRWlwPnJXCd7MfMuZwHLs68y
xJSFxelsRQqPc8wyuP20Q7NomiFnZrfquYJkI0PPoc4jHSOrXzIzrLHjbSNiTWIUtlTl116Wo7P0
47RZHlrwVOcw9SyRYuEXxlGEJ8oIOBxucrI3H0OTlKVTVEr0rEIVlHFYH5KzZS7JvielhMHPCD+b
JxppThBQbC2Id0EAgMMDDnTJbW1aRNYmQh+UmsqyHmuMox/JPdb+hw3ppauCtlG2sxilIQznKR1J
6PRWhVdb14kWsxaFxfdJC9IctgMlX7Ki/VbOuM40/OftKGzfoozJXxIDUhBAbD3CzwTPRBda6YVT
kZnRW9Ks8ZvnmXdshw+ZHb/z2q7184/xs3XdJwOAKuJJfk9TbyPDaNXd3VC74H9m0rK+NW3nb3Km
XTyPwQx5VtV+8GwILdN4X9JQsCfFBj6ZR8kN/aY/4rRTGyuc1cZmW1mGdet4vF05B3ROdyOXVyBU
Pb9xxeA7z6OC5FtPtdvEu/PKih4L2HCM/frZSoRSzyNpK9kH9yzRzum8JStrgJB34s59hdEItpyd
ijsrJnfFj9Sbiqfg2FSV3gxqU2/OYcQKHOQLgoSFNi6wp8kb7Jd+xbgYl3crvrHneD6w/JAAQwew
p4RYRUQ8kkNSLsFFodqO8BUZTiit2yTI75Y0/5KaiS70EWtHz2ylMLWdW3CLlMlbk/UTay3vJAlV
LDEl/LXtpmtO395bqYrnMrKaE2aAvTniMYNCdO2J5pEwi2MZ6I2o9VT+iBy/umCP8W8tJSm4w2YQ
O8BRJqKW1V27JpJxApsiIuKj+CmRtYthjQp/rzt7i8tSjUNd4K6bTlLSp7wDq76wCuyYum5G8dZX
FzINmiLUOv+SHk/3QTGZraq23hmeBNFwhlVaEAWNoaP5YfbyytBy58ILj7iYFqyqKW84Zmcce7FL
3FRmBbDq2Ryw6EBxDvVo4GIpbhcHIBjAk8SpCHnGtmWXKXsgfytZdmZPWJqbxhnmN3JkjG6risS3
2WNefwh4LJt11PbuxOWPgwvmcMuNP3Xy1KYB2xynaxwFDdzIi9F6cqyhvDJMT90kcCsnaYc8vRaS
dy/2SxKW0go4o5qYBWayvyBf07ySOEyIVWu402vulOnTLIsneMk6v8yRwt7VGZHeRteO/tpZmgAj
JzF8becm+BT72Pi0Y0AYKg/ZtibhmJDCuSG9OA0OOKAOm3nqCMP1qyleO05Kqw6i98pvGPZzVO69
N8hNtVv6MWQfT0xsIManIEirXZbIZi/D8feBUZibpPITvZf5PnYhCqy8tncio6NLbmhz15pcVmLu
GdJNxfQ57XFJSAnVhKRqr/wkXjjuze66lH2xQ/fs7MNgkJdVQCRDVLePddBDWDYeldG2LeqSIXSo
LVq1BcVIQymibjgx8rZOdtsYBzcoW7o4vXNZwnKRyjup7ZDV7gMhxrBTde1vDXJ3EddwSOUJyW6d
OkVm7Z+w5LVu2AQ4sTqk54E8e8ecjJm7iEhPocg5oG3X7H29Qwgat5spIizdzbhhSBaNlzacyG/D
tPpqSd27PiHmHSmyeZ/hp3RZznn3ZE+2cTkX5GCBS0g+N1K7fuqGHPwkxFHx1GHVS4ZlV35MKd8p
7/oCnXZa2Nkjc34fOE8Y16buCbLzSrgRZ9dLollR/hfHEenhKxPGj5NRZ9g3gUSsh6ZpdwbJCeUK
lhlz9KXr92aYxWuX4S2DmIS2nJuzERHHdhyU+1YB7m7tjv6YVZmcqTnpHxlQiNcQX5GafKR2+ogk
H0mq0VAJAt9t5szMtl3teI9hzYrCyt8QE1ZaCXp3Wx7MdhJ0SvJ509ozie4jYdQQaCB0q0r0iLtZ
SPyGa9e55j3eHLm1jdy8manFiclM7xMADCJR08JhfL+0AySRhopijRchEqqI0R0Ix43iEP6o1ChS
p6EkTPES7+Bn/fhsZK3ts+0hfKKtCMzUQDU1Gm+SXkMDp+W9SEQ3PleYqx4XDUQRupztFg1JkUnA
36Yy2XkaoRojsLENCnGNViXvoFV2pq6QREeX0CM04UGycI/qL4rGx1ofkojNK3woNMJF6jrjYHR+
IfBBrSmv9kx8FZkHjmDUZxSMVYte5zsilp55sYiDGzafZ46s0kjZdKbLwjNpFn7Dzgi+AUKjkwSR
Jt/xNPvMqkXv4Frkmr148eOCXRenAj32SnyBb+kYusVFbTb886zUAL/pFiDbQ2NjOuH21KDxWX+p
xpZCxAPB7umBVPl8Mq1lup9tsCBqUfCBeqQsDwzqs+/mtrfvkOt/qb64LRPVtf/z3z+LVzg6uxzs
ba3elRyj9b//TpnTYyqVVF2SQskFwOpFWeLGsDjACR+deUGR5hQB1UipXES2qzFj8/31FzgHNfwA
3yIRgxbmi0hf8C1+msSOMQEVi91FDKsCumXQOlGy6QMrtBk0tnFEsRlW+0QkcUTUGQOQbeW14XWk
OuvRN3vr2ikzqspff6v/47Iw10EpR9mOlkjaP14WJXpa/6kTHZRB6VdP7P4kzOClQUWG+r5LbCof
xgwUR8YQVS+//uk/ay31xeDHYxLle5TgyDt/+vGzzHo14JjrzshmD6lVz0xu29ovUm4IATUGVfTo
i8eMDvXR0uX3uznT4DBNuwFLgvNamQD18aHTJ+iqjlT69ex4MirNIP/NF9bX48eb6OoYJYnMFqdT
6+frNQRRYgjDzw8qHIoG45+pJ83CI5FsRbYgSJeqCoVRSlu/4nc839cdJutnc6GknJr7Aovgv/lG
uufz4zeiqQlDoMFywbT/pztouLWx9NQNZPQiNFl5BpqZjpbUc0uLB84V+RItBRs5Kn5c4sgcwt+o
EU3J3mrYktdMBPUZjCv76y8m/q8vBhsBAOFbHoD7T1o4ybyDcXgdH6AhqVAj0OOcDu44NpIMk0S0
6qHCjtI5ziVl64YAljY7DY493PfOEABVDWPwbJozp+V36yKr4xh79i9gukv5nkQ0afNQ05Iodq1H
FZi82QYhr5Smspn6q5nG4Nv7oTQpcNbpadtjWzVXCAbxtQMxSpfpVtdxr4R78GwtIEnZCoqIE9Cv
L4ct/3qfJMCHh4KFFuJfDBliy6gTrL2MvYhd1kC7XFDj+MxWeGYmvj0LP5SC7UNFK3uheTIVMV8L
C/3lYQo8rlYktMDWXUAgGRvzf7lY/JV+OmZN5/aQsEn7Wo0NeZiYrvSI38qIDtg6kRUeWtHATPnd
YAexEM0bL8OvEZ9oUbydf9n/dKL/rhNtsZB+91zo8NhvobA6nfZ//ptSoNX/q6rke6TIfv/cH0wR
5nkmDwkeyy4xPDR7/9WGDixwI4QQOqL1X/3n7+Ah8zc89QDMAxs7Dk+6/wge8nz9iv6wtpDdwrna
Z3EhzNX8WQFMLhLn5KrNjgWo+hUsAC7fdouoaykADdwuNg9d7VrRyrY63iZW70yjC7bCS6icn5aw
R/GAhxVu4jg7NrjpWbySGMwinm8Sh+nybCDVrbJmsUFHeNQvwkTOPbHHlb0VVrdcBTIC7wggflZz
7EwZQyM1fJGpTwVRJ5ytmliwWKQskPcYizFJT8Np74+UEQuJkLtKwFHTKQxpDU96fVSTuuRrumj4
R1W9CrI0dvibZBulM2Vn7G7I8o4dQ1WHnN4hXqBWSIrEydedxdVMIKd8GyIRebsxkIb9bA4cvbcF
kTE4jGax4b7EZjAD9GKe3MUXZSeQjsII1dV4W9sSs1IZ4WsPgWzE/q7MZiu6HyPTo7lEgo1Dgk9h
EpTdDp25MWJiDY6Wo/8kwHWASWqTVWpPAY8e29A2qtSaWKqGZ3tVa/TpOQGGe1akYyW80JS47ano
Ewek6GbQ9AHVGSACgTxACVZU+x8X0GSDwGuoBQSTct9jzEn1zrhLsw0u3bBr6admu840+5BrCmJh
7omLPWREk98BsoHJNAU0VQts5Qc7MrDAKQZNVjQEvtds1VjtQ124ZwCj65NybcxBeDd48/RETnn2
0dTMBu7N8Vpg3EbZkblfDM12oAGfVnVAca8CI9jRx0iOnaZBUrclUxyN3YaDpDril9udHPARxNL5
fayJkgFcjIkyQNhaAZwYFuQJ0RrHKZgfJcMImOogaD+5pRXeF3qQMml6JdMcizl2xQWODy3yBZJG
MPTLn0pNvtSGFaPVKIPP3hmMaTQjM2haJjqDM1hLmteoX8j+7qi7T3Ss+dSseZtGkzd0iReap/lj
agADeV4EoGOD6iQ4rT97mt5hq3N2pLU7xygrBroLUD4NuE8Ytv7rogmgoCqBgZiddq/N0m7TBUEk
uUnOKgMeGs4UkeaJxLCIgoyWEDhJ80Z03LyrsJTWy2T35AZLBZhkj90xoGtyVM5MMrLml1pNMgnN
NGWiEBej5pzwXSMPRrNPlaag+qFKP9YqTl+4o/l+0rRUXy75oVequs40S1WdsapQE1ZJI5Zb2Obh
stD8Ff5qoFihprLmtCsAtGi17QwxJVf+3Ii7AOorXY28Eod8akKawn6SnJQXiZve79vLQZNgiICB
wsQMqVNlQ3LV0RV97DmqPSSaI8Pjj47GBFtGnm/63Axed9G5ZWBs0R6lJ/MMpFmaTcNxJzxWyzTu
u8WMUJUHPs0naDZXc21I+eYPsCWwboFxVJp+68DgMM5Tm5BzHdQIDVQGS0cbaG52zXmNimZVaZ4O
O21ErpqxMzVtp9wK7s5qhz2GvHJnxyaqNs3nVWdSrx6THfGEJM8oZ7xLS7e+jjXbhx27uMNUZv7Y
a/IP/8vhjgsS3kzomD8smhCkCVlseE+6Tan5wfFMEp6hwkLzhZUmDbntvC3GWO8CmVVvwvC6/eIX
wIkTvcrt5E3OitFidyvPGOOgicbUJnrHb137K9yNnsBr9nHWFGQADolL9XAVh8VtNXQBwd0wk7bP
+7+4Qb2bzkilqelKqBvzKuiy4NooC/tunoaejaKdmX6UwJYBkGZ+xjUtTW72feQQ1BuAc5L/Nh0T
ROSnqkzBTH2PaL5eqKu+JhlaM6G+pkMND8msXTvWgwcGZ9MBNsJ1W3vzZ5wbgUtHOvsJDCvMaavp
08yT2wnFLwKvDKucurR/TzWtmmtutXaS5NFq0vY+kqiA7A6wy+gxNVjhh10/tZAI15Mrl6tBM7GV
pmPZPsf7PClBZnl75KXSHO18RmqRuLsHhQDwZETFAFdmDddD1wiSbW3tFlfXz6PrtrdQB+FmdhAq
C9KBwGZoZ3uIaj75nZJfcTqnCed1xJtghfg24ti9xd0wWJFovhtLH+f2qXU30kIhZJTatzswWuPo
W6AtK8Zzw2tV+FaOoARXVAbBxC/lsVM/o2rstqXE2c93iyRcu16afVUO6nliCOoP9G08bwusUHwS
UeTvFWfDq94K/YvBVwZTt6U5xoF/CPrMpiFrs78h4ezy645c+psUReEVruzwi35bEvSMzXnYMWlM
ncy9HnMUG/Rc+g+kzzF7rRgMoBExJh813djfMW3zLxcjmL/Qw9Znhh6R4SrgGl/kY2c8xrHrvdRJ
ydKTGaWzKlsjVXrRrgBzljDcdibaSTSn4joxQ8WyNNDw8/PZWqWhi4IGsZJ+JsaEWUFg4CJrxSUB
tdJ/zUy0FmYiXvFPo82KSufBj/DAt8xJXI5d4LAMzjZ5WrQGo1DBm7ktvnHC2tMYWw+zSjZBWttX
PaIxYMdSp+iq8raMbPEk/W7AIt7IdzXJ13vDSxUte+wGcLKwMRtM2o1RigojWbO9k27kfO7iJu9W
Vlfhuz0OwYPl0jlVTDcIx0ZX6YZp7MA9V85tFtZoCOxhCu7ySElGC2yyTIUv/bAZue2FQ4iiaV11
jjedgs72t7gV1F+YzNkdGp0xOIRdLQ84AlfrlpQdZGBzi6I3r25xRK8PaWzbh0m4ar24ibEexyVY
9qHVyA/UAvbjhAhy1to9+dUHe30pSt/dhVn10a1zuaVZfCfspkWRWzItpXHrtwebJS9apV0an8aq
MXD8t1vseR0PPZL2n/iccHys6YyG48kGYSY5eLyYMz/i0XTaXZFm7i0sDgOmhM26x9E/3Y1+I9ON
qBfqj4lF+FpEfb1p6+ZZmU1xM4yDQ2bjYjp79jtwJ6fPCBM05p2RWPJgl7l/w5kfVwZTJi8UaF6L
WyKm6fUcHnqmpvQIM5rh0mqIKKDraa21Vu92LKshXjdIRl1c/UrKVzKUt5mRjfde09ClpYdx9MwZ
N8ysHnlPhNfwcATyjcKXYFUns/cZgaVX2M9RTJNPNpEBbpvjw0DGxJOZlfmTY1MDAvAtiFzCur6p
si64WKABC5qd4dGUVV+sImyswbVLdrAV8/9j0iNPpM0s0lPaBUGNb6WV9JSYQXkoajtqv4gilW2A
iydeTH61Qsd0GQ4uqRSd35zcPK7vAOLEleM083VQN9aGQXa07ujVn2I1LtuIwv/j4vkXKd3byEvG
TW8n1zhTWfyWzqnIpPV7Ih17Ra8hR2lJG38lC7zRlsE+zgZBFcMYk5rYG4iExPJK5vSnRBp3foUk
MogHjwg3UurbmuSJslPj3hQGsBeR2aiS7YsktwoQw+iJ2yIQ7vrOGlVWvyGxFVVmntwMTiKuCMN7
sVoSqqeh61dRluW0//0GhDXnwhRjgJ56RrZJ0ucKvwl1iuJa7FTv7+KI6b2fDDfx7ABVNxieQonB
ZDB/aXa0h+z1Ykx4MWdEQCzl3K1Kp8AyDyYG+aF4mQ0baBb99boI/H0QuvKGzKxsjXACtw4ev1ej
lVvcn8NHnKy9Q2WE88m1W/NKg6ubIRqd9eI3bHPosY8QeP5ubrtljS8TYk+nJ4yKNv+1woV5F2Tp
fOOa/HKpn2+TpSs4J1RNt8ZZqV19d2r9/3RTOZS6QmgQSno+50MOjt91U9Hc0zrq/eSI+JJjnTFJ
+LqFECt8cjPvwTFV/bmillJs2Wa2+fUP/wsFxQ8ng5GGIa0J4st++uFLohpvXqrkaE1lQ7pyoy6r
JI9JDAyy+1//KN2T/fEAzHmGgBtMYiCb4a5+/D2TOkk9LL75UZVdqy3vyIyj8ByVX379c/7aHHZ1
/w5ehUgj2mXeT+3prESv3mQyOvbANTss6LRYk5zBXCXdLZphmlNDEJsJN714BbDgRE0SRnxjkKTF
4TqM+Xa//kp/6QyDwOk8ddqd2vfy505nbzIf7jhl4H2jlivsl+e9SEdO0E6OwIVUw7j5PPUD99ki
1vr8s//TP/q7/hGmHL/sH11/Gf/r6suUfC5/aB+9f+xb+4jBPilcDhZZgTA9kEUe2j+iCk2dbEoi
A4/Ze5rDn10kHVUqtOQMY1UpkXr+STFasI+cDpleEFZgM8b4JxSj+9M7ZQaYFuJ2ghiNnjAcyk89
/zp1clykVHrZ2H0yvyLlQdioHAlJbXLOUMFKjM2YzoeEjnBhHEt4K7dZB5hmH4ANzD070vzWsLUD
eJuVuyaQaFguJuXJL3WTy02CfWWz1KAKERZhMFg51NkDK+iCTlk7B9hV+5bTAsDEaI5467e4lqcx
oVuJ0cm7oUSeKxi+dE01PwjVhCyhI+2YFyx58gTVMg7u+BqRyEQWc4JmYz350qD4KtyZwXC0MF6M
Lz00upX/gPCXyOwURwNh2lurcDqGjBR+BSdt1lVr69O6ys0PSS27BQ1BNfh2sW7NQpkX4FJZv13M
+nPM4Hgn62q+de1c4Zs/jykf9WZj+b1SVCvvoeP/eQH/5gVkHOXTuP/3gtBjOf5g//PtA99ePRJR
mA0xXtT7ItvWH0EpHl1bOjhw7rxB71zxN3jYEVoJqq1U0UFpsPjP184xfxMQKFDF7LBn06B/8to5
gjSW7/cyHDsFubmeLbToVGII+uNeBrrfDUom/smsC2wz0pYkyszO7qnqs7eCKdxxDDtH4i7nRhG2
7mF2LUTRvBDxjoEOtuXGrRVJksTiah5uHdGFzxmOFs5FnUzT55jZaoQKTdThOlS9MNb1tOClYmGL
H6LOe57dbrzrmwohZzOTp3CKKVPehmF2L4e695/jqUyb1ZI3frHqfMueN1gGFejRMUMLnOQ4uEO+
TVHa9/RwAzdZqUJ4b+yl+RdegGMEb3qdBtPwoSMt6j4LjZ5D01CFXztIrpvIGK6yvEfuzhEtfVlC
Ub86YTR8mJi7rO25jb8alH+csSOXnnUzydsKpKvYTLNob1PEOlc4Slojc31n/ioLw7grVQqRKIci
uh4MOzx6TkW3laMr3MJYCufSjtOMFz9drIAsgj5+XapI0UEN2607hPGLNYtoWgu/8PdY/AlM7Qsv
f8D6Pb7p3f7olnTiDskIXAGF6FMWOsPeLKeKSpNs5ociRoe3Z4qUSzRksU3HFq0oKa2ZsqINsQfB
28yxtVrPnIrMdZwP/YWHh/XaDrP61IdZugVs8/QoqkQeVk/BRbOQwe4y11crM6j8a2dGoLMLB9nf
D7KoD9Ec0xY0zPZTbBCFsA4QMZRAQ171QDBqd7Kkb5CaNnFxYF05WFYqv7EkbnMrP1rSmwSAmIQy
Vw4f854mptc7nX/B4VvGK502gYwuksGJbS3sNlExptu8Vc2NivtmjayinlfCgyFxxglMFHoPt5u0
EMBB8RTd+l31lTV+7g9mt9R40ODY+HWMstxhQ1kAwxJn6T6rRnjGIQz9nA7IlB4HoertEswpo1Ec
WV4rTDdvvbEZNmWlXFSrokHSLzgPWCV8BvZr1niz0I1Jn2sTRHe4WwyfVgQeT0bX7emfJffjLOPb
wqZMyt+4uzZFfFw0Cdd2chRLOUF3DRMCQBwouOuorQOS4kuc6JxueBnd0Tv6s2U/RT4/I2xhgvLl
wWmZzDPStlwkwTTpDqGykBOVWD0p3tD1gNr8NHdOtmsL5JhGKpq1nrVAP48rSRTDiuKz3Lbga2uG
0uEOGg2jIQlFl0wgNE0kCnoQ1oXdBdZVaVpoB0vn3nSCA0pH93KpnHA9Q3jQPVPzATEU110rZovV
4NC/Un7DE+io2iSHBbOtTdv2UE9NGOySdOmwKNZMDzY4R0EgyGUvlmQz1kW2r92+59hULPWF19b9
yU774n62lIMwtPTcPV2S7t4I2rsl5sXMyvQrrl1PlsEyAHj85jels0k9j1i2JG0fjd7Or/ORHBi8
UIDxJtd6AJpn1fILxfypdQIamenEic2OV8SHMEWFHKUqyG6Fo54RA+TraOHFphVzSLvongZ+vC1K
K12H+Mqs08QcSDnEQefQLB5pO1iacbXL8ZHqKt6YuJUcZeksWzv3hj22rPY9eE67YXnKttT4LhJW
hygVYIGJNPMWb8EgM7cYTE6QXe7yAXMo5yOhHOkmzqhQpiqOT7Lv5CMhBqimRy+fWKRa1hRZsnas
8IswEOrRD+bNj5YbM+PtxX4lxc6RtTGLKv9QLvg/9kaQXo6WgUwkahEfhvbSrzuFinckqWYdJVl9
XdAK3cum8C+yxn5FsElTh9iK3YTEc0Vnt9sW7WASEc9FuRtzZJThIsi4IRSOq20LfH8QsQaIhcE6
ueZiQPaHLHJaQ96ry8SN25u09ce3wXQNXEwyJHA0OramXyl6g7LfNa1ffKxLzMriLqrmdcTt/5jS
TbLd3rimslI31tAn+CNG5iPO2DmkotO9SCtyHiRHlbsa2oKDWm3u8srpr4al84+p6TAtIjYn22LD
l7Poxkn/kDiiPPlxK15hEZDRi3pExlerK5iwFocC17pBDZutpw5itCW65iGyCsSZhWEl190QdJcM
D4ZLGsfhwYwBX1G8ZJvS8Vky8+iG7MD0kIDy3hpZLzG9Gny5jljzNyLtbCIYu3g5wZbHu4Jh/HVi
5+FTrJYxXhWV2/6OGVWCLNIYkkt7yNpDS4ggkmBr+oQGL1svoloexYD3LaYpslmRFgTvJ+v2qY5G
+xId4Hi5jCUBjTlh9jxvdXzver31gOONvVtKcjnnse7Ispy7+ENVV+2tWIjDituSKFgWpvrAjj69
MljJH0Xs0EIAGWRGCKK8Nm0H+02eypPbdHddP7fpTdQwr+0+mrVHKims3Ghl5sfZgD84lOhzkg9I
r0LVrTtSMNiJMiI0b5YyxmYMCKnY9pZXb2YxTMW2MqfljV6ptyV0iQ5CQ1wKFjsOY6Omoa8TxXO/
H83icZymep9kAP88pOGRW5lvGEHld4Js8Q12Yac+MirE3s03a+z/1Md/Ux+DzwXUjf++Pr7J8te4
/DFY+tuH/qiRnd+QxFnStTlOUpJqW5R/HU/1ydWDW5AEO+sq+sfjqW6R6ARCKus/BXYeviYu+BgF
Np/7Z0dTbf7yfY1sUSRLkhQCqnj8tc7R1t/3tZoh89XkWfXJwWdoI5x81wFj7gQw451LoG15dANC
vVYkKy0cGxvMZ59A9FOOk54NbTUZTaXzOIsgCfcYc4G793OdX/hRkKS3HU3D34ezfHch7zi2ovyi
0+LeQMt8keskxcnW4l9Py4A7PC8v07M2WGmZMIy8VgzP1j4iYJRNSuuJC3Qawctw1hn7ZgyFdhYf
DyMK1dtZa5KlVienZ6Gy4Eyq1gE7QvI6dEb8sUdMWDBjLMmer1o6d5cgtKy7OyMvsL2idZfEE9Q5
kOd4zdSINMedX+dLdV0S2AmiNbUNBwY14097oH8pmomtsjaN4qQ4//s4ktthYLuklupKx7chQkaM
WbiebAtz0WNqGLqBSdd4wJF0bWG4bH4exxzp8jaLyTegm61alyOzSsswWxd9sxi6boSmXinfNtiA
GcqgAYr9hSHghgEJS1PmDRFEbxNhgScznBaZTqdvYN+zXs87RjguvdUywV+Lojra29kUNtey6Iyj
OarmFnNxon2p/VZMDDiut7E6xoYx7CPyrx4yw+vRBLQmoW+WGu+sfHR3XlDNr7JKs+2I6A1LvxnL
QyTqu8Evsktc7MS+xFvtiNCq32dqYIhZq9LDfSvvj/4wrSFDsl1RKAzDvDi6cW2yn4c4nzaeE2Ub
p3MF7l5RSRQ55ARcRYHfm8EwJQsx82ObqG7y1Hsiozy6E2Dvt2M8yLuc6fhLXPgTA2yLFm0VT3c8
DyXalDJ5ztspvM3tcv6AqZiBi3rfI05HUbAZrUReB0EWPsfVJA5T7Bk3BnBotwKRD3aDbMQlabUk
JiP5WzaEiGfzM7oZ5h9h7j1hr6EeWu1XsoLG45ADRiKmNUIROa1LcNujamwUoAFp3tueQeRxZJ64
H/MsehZVKS6CRUIAW5U7PsKQtvPKr5ow3fRURF+t0fHylZCLLqBKpTD3LonXo+MFU4SJaTO6j2kt
N23ak9fsiEleWoA8zJqSJYf6afrhBrWlfWFNU3lwHIrfLsW2jZCWtrmLc089N+1ELlgoq0+jHX+w
6mZYd9gnnbjTeBFUyM3ntvKvFnSkdyFWuCfl4MQdWWL5SGFbFLtgnOzPadmYF8ai0DHUtZCnMZ+C
nZNWX4b/Ze+8tuJW1rV9RTWHQints92tDkSDwSzMiQZgo5xL8er3U+D5Lxv/C495vk7sgWm3pFKF
L7whaKMjkLB2h4gdWEWE927Q0RvuiUyLfy0oF/7LnlTqbJ3Wz//VUhIjU2eFuUJ1B1Cp1i7wJrVP
G/dsqon9Sz8tDkDsl08VSjOn09wHE1VquIcb/q/4ZGY6knCocW2QskqvKlTbTyGUzB0Gg7nNLAa8
lTj+XGzQ/OhDKbBrq6ehwXyccIRxURu0dJJtLIwtscl0WhsB1uyLY91JT9iom3Vf0rW7yRrhfZud
mgDACHScCKEJVUqrWbNbr8vkWQlf79xQstm4iHSGXhqfBLL3LpAkbVkaQ3+zgjUJ4drVz+6AMkWD
hsGVHQXrUwtmtd2YQoe/GL2dxVksv+BVh4JqW1hSI6yWcF2D+EJa5vBVOYICArQhOMLGFmaGScQy
d6dICMePPfHf92KiiteP7bk1RBP6b9McJuNg31tAQ4+28ED8zzTzz61Zw3Jyd+o3SlmCFSeRm0Mo
XOy72hRg++k2X+ewfrVtmAkkVdOixj6FuQlZ1YD6SiY7H61EzZ/rSQM383iyb5BW9J/yqQS+OqQD
hDVf87xQfFw+o9YB4wM2xeOgrRUDV7umLmRtfFTzVmOzQmZ0IOABwUNn19PkOCwE+ksPSsmyiQcb
ipcNCYL+aXJSlz4skIbuxTnOGvUlEMWcKeoAtDLm55Yz7zPgqOUED8N+y5eSDGRRfwL0LzhAy5jP
0V9FdAt40rOsO+elFvIbohXWuemNvdouLaKVRZDtWiDILHKRX5Cg+xeBnaODa9TAebL1OdGSia1R
oLI3z19qo7tBTwPxGLNLaDaD1E6Rgt2nyJgdDOAN163Z1TvhWom9lf3UH2OUoot8jPdySKMQ9zmT
mqkjDxmkhD3r/TlbK/9za/XTNsHI7TZG4AHid9ecTlle7hA+dYoLwF7x1umr8aLGavAopnkBEliC
hpGwva6ZuWVYGcF0lZI7f2sRzTCAJ5gFYY/072I3kqfc4RJaUwOL3Wkcmrm5U16VEWbihbXUJ2al
AKEATwqX3kjP0en0qFdV9UEN8xBKwHZfLXrCYeHX9D69/EH15lPWNkT0HI/n41Si6en2U3Il/Zbc
Hp2gECSwtV3suX8x7TEnVF6Gm8xwnd0r/7CO/XwvYfqFdieiG1q8/aVreOowBcgkLX3afRrjzDZB
iqF4tZFWCT+tS8TJBD0slTB5qumpM2Tx0FKl2scTWXXpe+YOHALv1fcfEr/43gFPOLEFx72BXEsI
ldHj6PaCzeI47hERTePEAJUcog1g7WHemlQMRPYckLqxdybioPAX38g+Kq4zVYCBAe65b1TWngwE
JDuUYYKjDYJm7+HoHKKD5BzI0JEnxi2CdTRT9lGmEIiSrGo7N/W4s72+elZYIG25dxw+6cYPS+Ie
p9FuUaW+WCVq5JUs843RoFZdm85zazTXw+ATOqRVtpUZlhudITaLLe7NVC6bJHGRN85XIozCcHe5
UV96TXftYRqEiOxhndCYxbt0Co2k+uwLlZ+Ci433Fba8gBQhfbtpBduYjB3tTCSAZXFhUypEgRaA
WeEOwRE4GoQpu7wWeXUFwSjZqxKVlbVGFQFp8etgHMwwT/Pi0CsAY2olL5Zx7W+cZDCRTLJXNmHP
/oTzJYkT0qG3mCykxxU3SDok5nc67GLn4GqxSeF+baDlOxxkecJ5YA/Xk2WSmpcLvCXB9AM3QyFn
rOjxjz6HMajF0RnMLbW/4WQuu+CYVbHA+Gf1T0u1XBep84Dz7pf/NvsqlarlD7kUcrn0XP9zKoUK
RvX9WaXPg/q52ff2334kU575l4fPOqYdFhhtREH+DRX37L884nuaej+c1n9yZ7foAsKF8l3aFG8a
k38nVDQdAOy6DpQgh0ACVvU/ajro9sXPCZX0aTRAlYHTS8ZnGNa7Zp9jYTKNPtJ4RPLDDK0EFe5k
rRBip1SwuPmTb6DK2NSr2mEdHmxzeg2beV7yU/BryIAr/9YffeSOC5VfzENxDpsaWp9wUdPrcM8w
yMW8bAy2yyBnxKDAckvsaUNEnmxSghYwMkIF24CltyXxu26i0WDxon+UST/fmS1UlNjkmmj9jAjH
kjQYyGKFWd7fw6pEtwpWcwu7dwvM8MkVjREW2ASh4k8GVhMGw6fp7rEVbsBFjUToK2WtMvLuxGR8
Zs99Gon8+b/NfVGnLyj/2FRVPWBOrgWZGyF/q9LM3WZWO6Nr710zCzAvBhUzCR6vAjkPDaQywlEQ
13b+CWQwtYt6hgZ61i5Wpb1Zge1ZuZg3rstQ1n7Xh0bLlxYjQ4CFyhcegWEw/JMSZkIIvRraCx3D
7dhIJOoii8JOYtXHTHbNnoCpCN0WqOWYy+vJHxTVGOpnMkIwPAC5uVpUF+OFIWgKW+0cZa7QW4vr
YClGivVcsqD/eebIltufbIuNnRuyGzcPjRWYTh9Q4/e0ql1dvSxVWx9bu7OANC0on+ULWIagiJ+j
QpiMQ3AbGEggUmAElIafOVX0jBesfF+D01HbxODuNvKj/LwlRNrChgfvj3/QERyYTYLGRSfHAwop
bl8nCQ0EH6Bl24cN7KSQ/ss19HxgpUZwO/nmuLVy/igN53pMuak4w7aAIy/YmxkVXKCQ86kHdm43
NnoWKT6LV9Zl2puch3Vv7bwxybZuhOr1ajGxsMwG9+M4l8znF0yQEE0DIrsppvSJQgfvfuUnAIkz
ATh2U5Py+6031vyfklHqTcJOy2vAXrR9sO367v71fZcx59eIXsRWTTxvnDBlsPbm1VP5pEbnF3Aq
4xcWObMaCaqNnzA7fY+pAgA63cYU/b4UCT+6fvZkm7qwByFxgxxaejkwXJ70bpeVNz8hG0/cP0Wn
k1+uFwlKiluEde49skVsjXnD/sBkguZ8+ToYVcOimAQfRdPlqawnawcBoT3FWcfBsZ1JW+R9dLqg
gfm57AEaWs0E0rtbEPpWDRLXpWXtOvijYUnJnnrIyD3ESX/m92I+oAxrntNdTGlfrNYu91iU6KWc
p1PGeT7UzDJkt7czItkXvsVCtQ02Ap8UGhW+uNiB+X0xijG9HhMQqHp52dm6Hg1zsHazLPxwqEH6
1QMipkbJ65ZImwMEM6rDjPTajkyfZZj79fb13YqSxxdRRZsfm43YZApUTRts0QVp8JLg/b2yT2rY
3AfUDin9l0Wwd+2kCCfBdH6dAHqGs8SvaUxVaIKwjQUj61uCrQRmyqtTA45CqmMaobajdiPWHo8N
nOGjQ44C8oxrVYNJOyuw2b2c9Ik6EK/AzF9gJ9iI2bB6DMFqLm0VbK2KEoDRDdU5rOv50pkdeDLZ
k4jBNCBLUJ3TE8l3yD2k22E1xDF2WKdYVJjn9LOCPaCKTDddq3PRB1y9YvvyshL9ZDYHc6XpMMtD
kBT9BtlNvsycRiJ32916yrDDrgPlQXTenUwupq9eBQ1xxun+aCBIsRNFzKYImHAXofYUCi8PDtFg
XcPt8Q+rWS2HBtNY5GvGkaSYx45GbmEaTFYREOYjTTb+8ApMtvXeZAVAp14X7Zi6IxKoguRcJVcO
NJWwc+S1tWTLwY0EcRWyohw7E5OpnZt9j8zdFrylESatUZ3PrpwvBy9/QR2SoVlYAa9jDa4lD/OS
rxxM3qus3HwnZwWAF8gaOGinhc0ioisLFcLQrVvA6lH70nr8cznQd41IHOKU/UQCUtybXffsG8LZ
VYL0pG69O8jhNQBSfMSm4dKrVUYLEzPZJZ3J1EXRFybaOYuxs/IJB5hqpiIVwhl8ABipSSNEBO4u
QAYI+uzaZU9WVs8hepQIZaSGdevQFA3pwjTZxYLuxGk6GbxC24jiiAYs1tG7zGipCNRgz2Dz49Ox
QTMPBWHqImNGbUvRBVyCrt+h8tmgH9K24rSJhkeh6vob8PFniRU6SEt7zl/81hYrzixiXQF5BzPK
HFVX74Myn4MGFfkWBaGsY81nchRhzFEUWqYfXQRTvYo9rp1Tf0km4HsnFaWC8qhIAMQ90mbjNhni
sTiPksBWdAYK091CQGvTS2d0rWWHIFgkPoPiRHbYc29/CsWu3iCAH9HJiWukC3GaYjXwjECjtn4u
FBeBsFZy4eHopQviiWvykuYcLnbl3w4dqG9Hsepkykz/+LoacPgzIPH1uhJEnuWi4mYb7+Ip5Oit
JVDNcDSn182ONWin+bdqwvhnbvKXj69GYf33qyGTQ3Udr228p399SmBaAqpBNcCEY4LoSICSoNjF
6AW/Pdd/Gyp/SALAzn4oXRh+Lx6nx+77zxnA2//5OwNwsAgLpG0AESINCFzC/B/tFM8hOaBhAr8e
Zv1r2+RvycLgL6Yu2QEAT1IE6KT/7qj4f0lqHYCSXMdCp8Cw/0kCQEfn3RQKDAd1RmShoJyTqbjv
plCeEROZa9AeEbtJ7lWmqiZ0G1ge2FChyUxnsFT7pl2ucPhYpy0eCETgXkBJyGj22UiejgLAat5H
6VAmm6rK3W1Kw+D7rFyhT/cM+WH01ItYXVU4Em+6oXiQuC+GNpW+fRUH/WFBRW3XzYFLGVliwxER
k91kigMP2+L1sshAJhHKEDfSPsVNLMrK7tTFYpCQgMMd9RPYfAnFRztwu7OZKhclI1ujnp3sMHFz
8Lw6tznxcPk6QdVEfa6Q9jrt+vQBkR1xnxYl509bwWOnQX1ALBW3FJ2gNH7ffFpnNgmYWNfoG33D
FZ2HjHhSJBOvWevU6RB5DBfHFpuM6P+AOt9LAwUObk+gaopVpE5OAw/WauEDtStXp6d67dqzsUk9
daGAZG2APF6npn+L28QFgKyKxk11M7WreT5zCFDCqpAk8gE9WH6J0kx5Lv3mPqIzv11NNZ8SPz0Q
YJ9ouWJg/fZ1vuQPrUPs59X1zYy839e8IDyCa5vAs2mGPeAeDERSpKO9AHIIqk5eBhAzQuFlHNqN
6/DVQYusi7d6xic7F2Kvxry+gdFf3NUkc3fmbBMT6cgffxF7D4QODp2ibZTgr9avzRU+wusxQkNF
yaV9rKXZ3TaBotiaRtRS7abYTYSBV/RmjpG/+tDcVftpGZPuXub+rdun9QFFhvRAdwFJ2Cj3ditl
VKwrXczECv8LXS7R0j6YvsQAxU5lCbuLEKUvr60gGp6F0XZIQLWGfa2swr4ssSwxEW9OIDHVSbvu
cAm/sQUdc1gD1PugAn3uCxXsez+idG4nLuUzF0JSOqZYm4hxO5ZzGxxQvkL9OG5MkwBhQQwPKC14
uNGtLy1kbM5ilLmH/dQJ54uHH+6ZLF3jQfLgYb8oAj1Ms9LQYSzrvelDT93YOIudTQsEzJM6M5yN
42RqeREVOgIHwDN19LLQTbgorA5AD1pIOgJM7W7DgQ9BIjNvXo+U/270f9joYfSz9f3nas//Fo99
/iu09PV//NjmTSv4C+goWzkRAOBun9LR2zYPyYQd26B1bdETtF4PgB/bPNUhKBp8HOGbNyWB/7fN
O/wKbiu/BfMtDUCh/2Sb12fWT4GCvh0TDQNpsgy5a86WXwMF3xuXshyQ4U/gz2Uv6HhGNnr4kyVa
FSqVWctdRoiv9v1ioyrV91SNn3GobqpzE5kS5L4aIekB5K0vsOSqgsiAzuYXeTJ/6YxSoKzcycYl
jsTVMMZCd7THlgjQLoZltUMc3nDhBdfegISJjUZMdOUHVAuLbIhR94PcnNJ9WHGJ8w82ujstEK40
c4IOGX+sSKJ9BXangV3RUxsS259e5NXvsaKpz7h/B23SJXSyEQ8GWe+CwKVS9+vo1D3KP6pfne9N
D4sPYn7sJdhYddgq5BcATgMuOaPTXr5oqMpyK2FmcGsWsEeeB2p+PL/VXJ/n/4m/wyZE8KOufg5f
rd9uiTIiIAd68BBPqPK9uyUvs2Y2tC7+htC8k180Mo3z01UOLV5qCRnjlG9KpOVNLWnQ+AM6pkSX
ACGNps4f67lfwOJ5uMlAJjVG3CN2axSvOgfBKLnfKUrJ613SkWHNO3fNW/dypQXHx0pieJIjg7SD
3sHH4/xrrRFVewYZBxrCVJzRXdbCr8McJfmcCg6i78YkFvfGqVJRfwZpXK9XH1/oVyS1vpCGUkvK
pEhjENbowf2J/bQUZRuAlYq+IcsDjGTXFFEuaRQZrPAZfwD5aerJajGhdJ1CYJUAbnr8jFoD0kQf
38mvAfrrnWjfWINDACIWAPJf78S048UI5sz9NvZ+5146+FkrcqFSoB19GuM1Bb324yv+NsjQR3zH
BI6MzS2j8O7ZSVCFVxee/VxQ2auXEMEmAbB19EFXTH+4lp6EP60bxpmNi8yDYgihKNvfr0+H+2yB
nLpjfZvNuE/ldwu5xAS7gwZBP8RLWz3ExeKihbb7pw/JHEKzCJaZTxT8no1lA4vpkEXon2cjGPx1
k3mFPyIRKVJG9+NLmb+/wgDSj+ETbjOjKGj++pAZNPh8Gq3yW0/ZoPSOaRBVXwo6aC2NM5R04+bT
HKyRQWCWdpVrgB1P8vUu672GEBKWYDRHGyOLyuAaHDBp6zbBiag4p1XaISAwTFKW3fHjm/7txTi+
CXALb1Fp0nx4v6GhO+4jRWhUzxVGCdwFmJA8exnNRTj3NdqZtR1G5VirP8pv/T77dD6hc18TwJf5
ftuKhAa0d454os5uWivlSCdFgAvfm6TDdNGm1FgcWSa597gkBUIdYdt1XUBJVczWeJuW69QR/frY
Ij4hTKhF8ipqBWdomso/5+r++3fLDdL10MsEWhWK7e/erYMfbAdkqX5K/NRiKWb+otYrrCI7JtWK
zewy0lhsevdS2FHKauorKTkMKndZ2CyDXMbLMxOwzF7c3mBkOP5kvk4UjNHxfHnbgGXUsLtgSRC7
930coAtIKOnlzNSxULoiX3XK5RgGOw7kADBCpLdo6FAJF7SWufCvo6RR81dENBEj2sDbQGsktDJQ
7y0+r6nbZntLtij7btoEQXGYETIrv7uU31JzAw+kX/GPjwLnnrYqU7MDXco96npThe4iFcp7JKYb
KPqDOxfr3apsb7xFX8MdP/cZ/zJtkipjB9H915p3RhCNUMoGZD9FlW1mN4KFHiEkwMNgXJMl8X5J
KrdyNtoag0+6ZhrxEYhffekenHFO1LXCh53DjKpexhbcdzKLl10WB1xapLTGMda0J301ES+Ne2lD
bG6/YiKBJHkkxza9KGSF8+pkggU6S5AWGk7p4FOzgu0V6Z2PwN1czvyxTzgsjUjpM7P1I4Dux8Zv
Fa2bWlZNnh9/PABxd8KjInIbuFmIniO0+41jVEw/sP16EytKHIvKHUmoy1+Idi1ltu2bPOv+/o4W
OGC3w9oZu5MtU65Gp8cGisgYDJhlcmnw4myOi13zTJDs9KjKPJ8YOYfEjA9ME2Ipp1XRDeiIoSmk
rwjahahtaSIK1OBEvJbHY6PX06UOFKeWndcVkyaL3Kz8jARw7Xn7zIaM4G4aJ8OQcINSe8Csia2u
4J2RffKFNiiCyNurWCGBdCrknC7PcI9GxhDD7ozrO5oNG934dNsZk5XGUDGdRG41Ipcer5h1ooVN
JsjvEN8s9ENkQePOF60dYWm2I9nW792zRnaBXbfaIw9TW1orJ+zsVvJT7MPdGE+DfpR8S73UkqUw
ZAgSokYQK4+zqwMcyS0tPD3/OA2wCbJQBiCOXdocHktw8ducmQJAGpHCEaIkt4cnLkIY25mOIo2T
XvrM/3SQ/LAN7MXjtjKgZTxjO5aM4AC2guFcfU/PuYIQELlDNdNO3yP+pKeoDq3H28ZHPPa2Nf2C
BexlgCovCR1XogyyPdb50i2r3jwSrGsfQdV1eknLQH8pGA6TN4F198BfqNLb4y02d4AkdzBsmh7x
59nos/JiLKgA2Ts6cx33txKL6Vltp2mnwgYDI9M5zn7hzIhzG7cBcnXalIbSid6ZkgKr0L1riL2D
gHlj7xXVAbyvmNuI48eI/q1XzoIkCULVPZ5/cgdai8I5gcJUu5euQ27akcSrAhFaLGrt9FONlXBE
wzIb9Buu0nExzD1o334UyLwbmnI5d63C8ngu+l5MZ3nUo9F4jETPu2nB29cOXQgTFjxlo4zY+CYo
sUOrQKnWgVadRjB+KnZsxGw3O2XHmNhu42aog2AD7hyz0w3Krio5RhAYNPnNz9lm3ed1coQEE2GC
2lj3QQZYD6eoLkFPOz7P8b81vUs1IzjA5EkzvaV4ikwbceMl0vMS2eeeORTZaZvHZ/Var/yutcah
My9Xx2arxKqYUQpL4GkAWmdDmEN72U+uxZabIVTNW6oQM+UsoCoD7pGiiaF3wYHBZ+YaaROpcW+o
ZuKTpDB4EtIvivS+lBsUFK4DlemIMJFDzPbUyNll/FQi2B1GRpG1YFqqZ0KN9NOBL/H228U585eY
me4X/cqNJxgmcmlpFjP3z3bJcTQuDfSTsKSRwcrD7U0fskoNLdNxxh64FhzK3cL+sPiJkJ9mdBxh
17FFIUzftNBOkp0P8BjGX4kcFRqegvbvc+kjOAdy5zUPYdfXgzNRwaqDQ96xqwY7+p1oGJ8M9O46
JBtQnw1bhNyinTSGqL2JEBBeztKaw3/ZjcsEZ3aPYZdglOqSNkAWZvS2mDx+OugR/DGty3TSv1tk
bTNx13TWgbOLtRpP1SP3ud6ZglmJo6PXBd20IRKNDdYnvTNWrvRBQuEPnJhec2mlbLshmhqdwll2
NRf3QVRT0d0Y5VzcBpYVAMPssKJqT13YvoC963FonrFDaMVZF5dCXlD/82zgIU3aPqTsuStmR2AZ
v0mIYN3nsnbL7nFaAaN+AqOMQRcdRVWfNbYDKg2wM+xIqmbShly0nybHx/GzTSIMxNzSKOmhFhyr
O+h7I/IlWs2bTX7225WGTzV2ct7GSDvpkH7tJtQOpLcUVrBpOrGoryg/DfLGLdQi423WynwWNOyt
JarxUeH5I+ZphOGSSjjJiq0H7W5dwyAtVqPThKOpPptZHCDcwHNMhmE2+xGFPzvEOmxeb+PMSmoO
Pldrn+OPS1NKKsvcLtBwa0BZseoDNGQsD1oligWopiPCcgQbo2jAGxPqgUFlGAdzonq6j5oZMN5G
4QiWQj+yHXHVAI+WX4aeEm59MBoPZZtdUBvzfDur2VYXoleV+CyF7HH/rZjVG7w63O7L6oEn1ybn
rtc1B3924nXGnMRr3DCYcUk+RKnCuAPjar+sN0Fe21ay9VBna/0ns8z86luCb/A4h7mrlvZ7kDn2
MGwHOpcepKneUcZBRVXr0ITODadwDxEgSvcyMD2R54fRbQhrk++JX9HGNbc1mtR0yUyHVpi7c7H9
EDE24zxMhmfNa/RtLEXkmugKonPcw0aFe5hSzbNhFn2ZFqdpZNhEUxdhVmJQUc6PKJM6RGORMbFg
OkqGzP9KoISVHjp7HvWxErCRsLhb0PSctRzgLAcoAXqHK2knsJWkYok0sxDHlhhDQLtvJv9sbYGV
qq2TtCNHjwOEg1NGVU5sYZvneXznfnBqHae4fa4zB49+AXeLIBYt88PQlql772Btzq2Y4IvpDFMC
pdbQDK3DNun0PZG9Dyi/sQ7ScoiCJ4PYTWyxSW3YyzIfm4fpLBKAmTnDy94xdDffXe1jIK2CkKii
C8KeAmDO4EGJS3zqTY6D5AUbYllYnNFoEEtCk4nmGwPUVJ4+OX3EqrnTLk48rj1Qy67Xm5HmL7+r
o2DmywxoC6yl3qlpBxz6INP7ZC5pDhdbKzNpcoZAeXuzewy6QMerMMrYbSw1IOw+TVAEUA3PvOo8
rrORYxGchI6lqsbTIUsSIKAHRreuXGW+DKJfcqDiBQQ5RJTNirrBxmuimbENjM5h+NnDFx0ivZZ7
3L7Up9SPE0zCQB1vQV/oioULgJ27N21Ye7jrxDIL6sMCFpPaHjxCAlefc4U7GHqBq8Hx75FYW5bQ
ZkDJh4jUqxK+sS4V6lNhThMfPggBkZ6KqUEc8Nkp58i5Lzq8D0/fXiMHpmkihGgM6tbHrY4ntrPK
5B0N/eiZHQasGLwkV+uUGRG8l9xzsvyYoDBcTieoTrjj7QoBn6cy10YXnzrQ/iCgGzirfJeBpTch
+GQtOpH33ZbJUlKvM+EmTEbnKXDeFlFKbEU6mgeLA2zhaKBHNvpXK1YrdUqrwEMM5bisUq8D20bz
vN1gEECwVfRSL5G2bHXBq8paPhCNyHY/Zhi8EB62pp5gdjTgynxADBS3kzB+O12TEUKK2A41jBN3
CxWdKBA+jY43FUAdhAVxUiSyNhiB7CVavYof+Hf9aaKSbr3CNsrjuDQT7svaJomnQ8PcHWIdzGOC
zs28LY9cObyXYphqXiotfVuV5/Zsj/HDiDApapLYpeCuhxY7c6HYpgsxAXLcndRzt6ggplyUkxmP
ULQL2O7DKV+A8WdYTPXCux3ECH4Gj6KORzCaMdXFClOH1sFYk/LB8E67x7EbUvQp+3xoFJvLMkn7
XE6mymFoOBbzrDQsnQRmDWzxW8Oc9QuBvUt4SeLJe1aLsy5nNsrWyxl90WUeD7Nlt/njmJgzgxK9
RT49wD5ijR5gHE8L1TknMPiREfsgEQkM5jg2yL6quLX5Cdw4heNFCDE/2zSr1itcfg0DymiTkI7Q
QIqBzfr0MIdbdy3sQWzFhGL+FYL9OulGL0lHYd1s6iQfZJYO5GNILeNt1Ecxb02VFHTrcAYSEWzT
bsRedY8ORL3eMep6x13NlpwXc8YG8IPOH5hOYAgTvgiXSr1VNuzJqEVh36OSXeXNTP2j6ZsJqUru
E0e9Lb0KbhEfLkQZVOVmaesCMrkawewzMapJ149EZC96SnqGP1WfDKD5FfKN8aozbicQyMUBJ/L0
EidbjpsLF501glfkR7B8SKp5uHZnPBVOfDgPxdHvLXIKDjYhiQ/w64ZDs3eLvOZrAqk69qoMOVre
pFVZ7OLb6S1rnHOsNpOTNhtxabgg4B/cbU/lyip2QTzqLPAtsSiiVd90jV7nEm9ZZQumN8rXmoYS
zVkmOkmSweyfkgqtxl1qQqrK0f+bOQl3czJEwKsAJ8n8wmsojvDBdWFGLTgeMdcUr1EkYK16Wpco
qaf9Smcgsav80a5nnaEvbztHgL47Y4h/kZ6VH9fW/j81I9+w8XqgoeM5v0nioy7mTxGWP09zhHQw
QMxEFIkTCrqcRbDpEQznlX58yfdVNcpU+Bk7UpfzrN+lnpYGM2ZDueoJEozu3rxNjYJ2OkfXP70U
clLEuLZuGNGa0qpTP5XOrSQGJEh14imVkd6faiDKI0EhmzV718fXeq0G/lw/Nikde9BckF1H8+i3
rlRvmH0Bp8x+mu0SO7mzISktZqKjJNoH26QrTc7CFXhW/jhUqBBRRBmL1i+2jbLIu6lC6M4GkDZd
4enfduYfvY+qA+ZKiOQ5PWeC57YTP318+7+9FZuyMIGtaUBtRhZM//6noUL7tlTx5DmPkClm7oMD
SqeFHK6kUB9f6rc5h9AMSDoHJBN1Vf99vZswKrUqAqjHIEF9dDlGi59Nd/i26yUC/Atd6T883PsW
ismLAeRsQQ6hwg7u9deH69re9mPq94+NTPQepWYW2xU8KH1AWIE+s6KAeJ9gYuHn74XlGd0ndjus
zj9+9vfDTNcUISqNpZIsN/P9jJyw5sJoILYfqEmQOi5JQpXKr4DOJH945vejjGKewdPahsfVKI69
67nlBIaggTLzYahqL79AOlmn5in6TxzyiaWjxo8f7VfLAZommC9QdqbJ69Dho3z06yCrzF/ZTJbu
oavoEyW7zo70NsemuPBeo64tZhO8BKouoONzJ+Fk/PgG3sH/uQOE463AsBFF8j0e3fr1DsgSk8Js
vOqhTZDaqnb0spDBoOqRBNnhLWwZu0SHxsje6/37R1FcOEqXvCBmVZwL09vglJmjSzyU/hdWcY2z
CNkCfMGKI6EHCOn3oW8r4aP0YuaK3dqbHH1YQpyuxzpMIoiHyQYLV11/Vd5A8cicunnCFC6nRLfz
CeYtdZLSWvbXEGs/HVv1Y6/DLtHhjEYZGeNe3pnbpMQ2Xm/rI75puobb8t4K9D2hPbtmnls6aMp8
9RrxWaYOlgEWZewkRh9PjL8fZx2VSWucR11kqXLKsh8P/28TzpMWwC9Y8ahf/j61BzKLRBjr8hVA
CkpOx7hROgUKkK9h6/1Rsv74knrd/rzl6q0WgTd6ND5YgN8EE2mULaoFWvo1iIGF2bshDdz8AmlF
KAqX0OK4Ay0gOJBEzWakg0Ko5vpuPr6N909u2+jesXOCfOMP/7X9/dPeWbltNfEuk695TfnzFOKx
Kr8AlrW6c6tXlx9f7P0OAofG8WwqRa7t069875IAUixOk6bvH8a2ydY7BzkOpkWWNTqy+vhS71xE
9LeD6JNIgnl03mzbeNdRiqfZKIpqtL7g1mf4iJCbLnR96H0pmW6aTZwOGxreJX95FGyYlzM6gXck
a04HgpOyLiUYUh7dv28QhCYONRGHIcJOYzIUPNJYFUmdJbqsNQtdBvCVNjg/GX1INOSuJd2R21GY
wJo2Inc4i4Ak6U6RiRIWa4OEAJviEyHYR4t9VRuxfBOn+4/ghXfjzRgE7CsIgNKBtH/vmDpOrFDK
GuYvQ5npkzmqaVXkmA/iI3P38XhrW+ef57N+p2xe0KsC3DHYR9/t2Sj7UlM1ZXTry/r1WoND6TQf
Wx3qD2z1bEFvvXdke3QmiL2ErpL++KkbB10hEBPo7ntHerqeSS7YsNNZJVzI6UTk2SDW856lioZR
2sAuBLA4kDDt8ioiPYZ8p9OSH40/ukW6iSSKzGLtrD7wv3E/1qV+4auTcRXx2h333koTo0kFVIXC
SfSbzEyiFtSgRjZ+uIVdqgvLP1porEjmbqZRz/TaEIPmCxcT0Zv6D+et/+vrQ1tS0slH3gNbRs5C
SGG/ngktTzD6RhM9F6Pt3aPe6kAYpT16dIEOSmr8idrHEjWyBVp7FDYSBW8M7Iq7MdZk6gqWF03T
GHqDWIA/u4lqv0Tkr/1VMffoMCf+aB1TjBNLWm3PsJxQr3M7kSxbejnup9GJ6jOUVPsLTqRkJVtP
xjwUfWYjp+834ymC2eg4NwUyliFVw/xOrALcoSowAAHA3l1JTiUYt4WwL7wFoTDVQKikJ17cIUAj
T4vCokuQNYpyXg2/O9sqs3gANeGg1B4joDqsKHHDieq8W4vz+bFJ4KaiS+AmlDDivj9YWVXdTp49
3KUABcFBGUJWoaBu9zUfArQrRdPduLLvCYui4ZjNQ7anTbDABqFfNMOBCVKxGWQ5nhZVvVMYr1Kw
SbLsX4PvulTNMVcO1dTVtyvKGCHhJyz2Sgi5Bb97LdViPFmL6h9Mb5VfksEZtsmMylXu9SnS88v/
sXcmy3Ej2bb9lWtvjjQ4epjd9waIQPTBYCdK1AQmNkLfOXp8/Vtg5q0SqSzp1rwmskzLFEEADm/O
2Xvt+Pjrj+z9ZM2AoK3MZGayVTA0NgofBgSW7NSuzSXV1FbHaxdKUOpb2WJ6sKRqffr1xd5/0H9e
DPYMgiz42vBnPuxIgtlgayfd4gWLdI5GaFTvcf1pjZfn6bk39I7zX1jmN7QI7fQ3+7GfRv7bbaLV
oWXDJP5RNtGZjVumhsxfAIlxcNWhc4ybXBe/jSl7+0n/XIbf7tLQNIQHoGxYkD+qdEYtT7UercyL
wB9CUIbGcuGVHHji9Qgv8LbQ8uA2bgJoBmpmutVa70Eob/vYtNZj1iL7QqxnXaQl3UOh1PYn1tuG
fVKXtQ95zuZFa4u88rRWGDc4OIvveac7p4Ly7E2vTdpnFxAY4PpSqOQqpuFFz13GsQL5m+pNSi9O
kJyxU6U7vSS4ImkldOC0Q1P9po6tjsXK1X+zF/ogwuORLNsAtkE8F0Tv0KPfTztCsZvRcKb5xeiW
hx/FerTVyyTbjfP4rRBu9qiDRlt3ZF6DrZGKtTOKySzWvx5+5nKZd2/GXsSaix4EkCDL+IcFRaRB
Tvsgsl/CjsYB5TSJccNBJr1u6JK0697Ixx0kGhIrY6XK6faUEHqoW517gJStl9mhcpmhne30eaJw
BmDvax5TT1/JVDnHU2GfJn3akn2n31MDzS6E2ENitGiMTau5HWm7JGUTrOzKtW/ZNvblZjDi75OV
xFe6XcWA6Cl5xmFZXXKzzQgVCZruacqi7pNqaumNUjgsENYoho2utcj4dRmH9wMJpNgza5UbiEbY
dD1pfBn96zqhEcKaeGeYinOKwah/FlS1gXilKcbHXz/c5dl9fLbYmtmDWpxmQfe8f8UdJWHeux28
1LFhXuEsSh6qWJ/IfqgLiB0DZ4nfXFG8F74yqnBDLqpb9Eg6EjzQyO8O6ULVMlIKquQ1qRLjQNlM
yb2gm5QjhUryCFS+pbVuhvKl0tXsIQ7H9hTjX7hRelff/Obufx5abDWZPjUHziymnQ+3L4fcbIjt
KF7DkQYD5/Yy+FpiTerXADpM2BtaSoUjL6GItCa1wnUSWeYO3Ee8pk7iuuRAK+Q8ytKyv8QtYCJK
v5TQC6WJzqkVN7ta18crq4MJHpp2SO4GlurBa0DvoByvcE16UmCQxCxqVlsckhg40lY5u5YgSYZS
hnKClTNdT+PAcoZdsQI2weq9Iuk1PcGNogWu6PmCrKszopt6INB+T9Pzwew5mrIXae5abQTFlGcI
1KWNXIaRSLtoZVH1u9bdGMSEjaIOH+dIX6m1MkTsDdqH81C5TQMisrLQ1WIWFHvEKQM0HSvUPrey
jL+Q19N+N96ge02fBL8rfP08/zBSXERzSNcWDvDHKVnX6ISm45C+OljKYL0ObvKEymOia8gr40xl
v8xNh8miUJ6mPhkg1Vo9dM1fD5K/G7BL+iiRmyhXDWoD7wcsSqkmb2Y7ew1ya+rWby/EmrsoO8WZ
1W7UuXfvcTZ0hFNHgV+R3v0Ijb6vGCezuP/NL/M3H+xCSlZRW2poLT8qdmcAYH05pskrXGHrDmpU
c6tlQD5sCrtH1sXuqsvq9lAZRb7PRp34koKwRqyV7Xgd23gCIWkP/SlWOv07yvnaJA09Tv90LPzL
44b4actgW+hdTT5xNNMcKj88sj4Pptytje6VqncdfmJnYTYrKomwMRu1v9KsHsTq0MyWs3akWX6P
ZhAp3hxgb97qdtk8mHjaT6o9pJ80Cb1m1bEKbGQiMx53mNgro6bd++eL/o/P4n6qCFL89pLHxRrC
r4yf2x/NcTSSlkPavzZa7PDTxfHf/JX/cVqYxh9YK9Ee/5S+KCz1DwrEfDUc9k3+F1aDv6wWmvYH
ewuWAuSehkH1g4LnX4xC4fyBAQCMNzrtfx+pQYTjj4scGwdSLwx3EcGq1Osxdrz/gCl5ZMSDh9pd
01RV51VzDh6Nfjas3zkjQrQyQihmcSafKzvVyEpKlVvNrdkSGAonhCwGyAP4bUE8c/5cK5ZYta5S
+ebYV4/UsPg5lrLkSygg4q4Tie4fjrOp70tgZZuO7ZVfIZw9aQqb9cgtBtwX6bQt8ardzok+79wQ
pEAklO61mBXIfZExGMDj4ugyFlkMqa9ph29Ix8Dlkc0YY/nlsa0iXB2xJwnE2diZWh/MSameOhDa
3yiCTyBUyZzQ6Hc+TnImDACssb3SsQK/9jIUMJoyAvMop9+EkXUjWiWOPbpd2qdOH+ff5Y+8nRH+
uc94ewUWqEPeqooplr7a+1eQUzBJQGVZd7PU3T1aDtOvtBFEFzI8PmRdq1vbi7XcvWbp0YgEQzju
VZZTYr9GlrWdIxY2jkXl3p27/jwHZnSldUb5wjqofEYH0txGy8prxkly7mBscASM2uwhywJnG4K0
2nSNXl4cR34CpWTuzGo42eGg3WuRtsWq/5LUBMv98JFc/3l3PzpG3A/FZBcLJzVyujcO4RIGzaL3
N11RHgnxZLKTK/PgUSxvP0S7/oWGwnitUJ1Hk6XLPRVOCAZRkWtwctt500BZgNwyqk9VKngMrjmM
l8VmdhhK3bwLJv6pZkp9RSAjjqGiDZeos1AphTU5TE7wQClA27pxnD3QsuxXVpqpu7gYCmwqUtmm
vW6tl5hff1ZzxrTeqv1RnfWXwupOg9TEDh+QuQOBzrphBFiFgHH4owmbQq3caGPGj1nl0j40yuEZ
MCLm/VYfnqEN6nuET3InwXx4QYQtteq7DSLf8ZaPMr2ye4WPqUnjXaq/qNjuJHtsaTXrFAbM0TFC
UncDB+RXHNNXKu3E3UL95uAUA1Wwi2K8pdNqUVYAR3/OI70+IY/QPk/4Y1+drCZbuhgk4RUm1GWO
KLagEdk0O3es4iMlaPUMJ268dgrRn8205uY0otLQDkdzspskUJDVbITaLY6F8dK0ggeKMG1DMQk6
irl8m0o6Qz8Zms9GRCyeyyntRMqTu1rSCn9TIP0wZ1HicaifLfVKQSYJB2/9/dgBORzA2reV26hV
55vWpYKj0Jt7YCeIUNcGzkMxn7Ejy/l50Jx51bQN7GdjmKKXpCrHq8rSgkPdqvVnuzaqdRZl6rZ2
qi+ju4BCOiv/lNf8lLSXZuYlMN23Ge/+VELT89Q2nH0I1yMMjlK7HVVJSC2FmwUapExnY0FpMF1N
G5Q72jKhlulBmlUrfLNVoKOrsMm8ZOzHK9gk883bsK0SWB9ETU5nWcPHEBU2StLD1C+OkjecfkXz
mUD1GjZMjFs4ryL21bpexE+FCvG8lHBLkZKTBYsOzNoSQI/9NHUi5+KoaK/9X3+6H8xey+PH4e2w
zbLwfFNAXj7tH6rhQy0aJZxlcKvJCtd0KxArTrJW7iDCcQci0ZDi1o1yn0wxO3VzrNzqjP4nIkiX
QhnUfb7BztOyOjg4aV99S3tLTp5bD8SXLvE/j4QicDMchsS+jjvlNyebv7sBY1le2TmzLtNHe38D
xZw2UkShfZtZ2J3Z8Y9XNUTPTY0oHMRhwTwTUPC8ZpfJFFNEQJgg31Tf1EA1j6ANg+98ewBfAPR9
gwcqTsAeoUJoVRds6swJ7jO7pggTFSEs1V8//A8ekLeHj//SpoPL9lEzPv7uA+B/CYrOvC07k3ys
oWmC74zmAH480Vk0WeP5nIwNMZh2X2zb3OEOtKIgA6CK+wPoRjgnrib3mTnIfYmf/B49lbt1BwO7
r6y74jI7DS1ojfsfcsSYwImH5js6lYpXFBtPTTB0e3WenX6V1vN43RlDWmzt3iYcIDFnb9Swtrdd
F3zW8PvtFEdxDvS5gPfQithkjQ4bOIvGR2kV81YOS6zcFEkfrmnhrFpNG18pWjJfabmBi5lUNuHP
eoWzpkwRP8pdg4AC73xaVfvM6IPHwuZTZ08wXr99eoGrhC/kvEa9j7aEX69Ig8M8Su0WMw8nlDwB
aeNqdfSiVs28SaB3PTLy+lcjy5cZZHk0CfFjXUxMlaHOPD4jZ+Yj91T1JgphaJC0Ge4hVKsvdp48
62Ve7uswGvf0gxrw4hqEGCPTTrhOmrVpZ+MVR0rWkl8PBDaJjNJ/bhsYCRjZ2DMIhzl72Q5+2DYw
V6OLonVAPLFo7RWpwMCV3+ZmTKj1dgpqaiVw8mOyMLC4sBWrvllaO9/MgjnJD/MGCDFgW9KNs0Md
A0n2JuCB6apXkpjwv7DYtHW6fK7CVp8mig+fFsPaE4jQ/rUjhU9ZY2nMIeNGThlvqcpk5x4zh885
emIcGAVQg0zPgmyTiQCujMsBbeeE8BiJW7P3o5F/GodS6PyWzZStFA25Ym0pN1RZp2HddGr3gnyb
KTItljICcK9RzM3W4Kvd2Vm8bDmX91oNcfu5GdMdtAOCOUctnn1Xnz6LCtihXpKWze8ToQ1L+CAg
KTBYE60xVohY7GdqMPlaok8+EMmg7mYXQaNnoTfczjXi4TP8bMNdVV0aPbAOxA9Eg2aZN9Prwpcf
58nnxjFcNFF4UsNdxL5lBI7EbOA16LteFMLVb5V+WDY4ciwPqgOwQcFUtJZEo4R4beBitSTCqdxu
ypSXYTFQsSFJ/jlo8dd4UwTleuWgizWW7MLiPkS1vA9Ug1VnFon+FGH1ItdAWFV6JDJk2f64003Y
opn357BWn8hUYV5t6xxYGTO7ulIKSA2hOaSHiYHgUEopyyOCIEJLTaHrX0Q5xw7jqZtvEH+jrhZ2
Mt5K9pa7FgBw6DU4SL5r9FfQac0KgNo8pa9nBYRNqnIefKOHPeXAPopWxG/aHngBRmGMSKP0xlCu
W3BHimdWgbqO9Tn7DhTsFrBEFq9Mtq2BN6BPx0md5le2nUfXWm4PKxYDlyfjTvPN24f0n5Pt7062
S9/3hzln/a399l+vb6TJq285Z+Ij/9I9p9O7s+2ff+mvs60jgAgg8fkz+03j6PgXKsZx/8ChgKWZ
NQqdBkLZf5xsdfcPauaUPVQV2tHStvvHyVa3/uAw5OqARQ3Oxsvf+n///a6u0nz49x9PGGKpT/4w
P1K5XUpjjklpit3iTxV6nc4jjXNYG70gGwMNrLBv0JnOGx2RzpaANPfQq08J0N59VRvG4CWl4972
Zd/uqAX2W70W9VZtY8SaPzzGvzn70B766Vfj5kzqVJoFCokK6/sNCAHLk5kiedjbPTneF5gs6sWZ
LWD2HARNbCRdeRcLjAN+jJ2iDXWXMzOhxjmbvODFKQpx09AXqqWPuy63P8MWCa+mqB7oskeNeMyj
qLXAFfTVvCG2RXHWGbY69YJYHfjdmo6j4uyGNJjXGMyKNlpj/sB8QdiIncpP0dSHhGwonL2AwGb1
rRM0GVpIBCo5PfrCPTiyExjjpsQfYc7VThfJzncRtV/Pwuo+uWWV8dHXsMPYQGSh11HpespZXW45
M5UAI4FDJivORxCBHQr3YtMHWpQdWr3M0g2OLebYpNONG8KJ1wRyDDBxg4cxCBXizmd5qMNEbLtO
b55jkosvbm7CtU+aowhL4r2t5t4u8JUKd5y2dtO1R/btPYRygGCxPdekm7iJdYWlZToVYbRRqDjQ
welEeasY7qOqJ6AO46Ys13OaRV/YXFW2p3bmQIBzqdzMXeqOrFlT4w9xP55Ce75TuzC7yAmO/zi7
hc0Mbolwg4vAeJJNnnhuFQEiRd0wr+jyx9at6qTVLTgifZUHTn5t9hDq4U8QBHyGUtPon5KQpN+R
I+5lnmufSCRtU7vZcD+pKuQa9kD70QLGm2V5salsPJgrIS0A5GjGlr2UIF05qHwbR4+nz6DhR5Vo
bhKrhpVApn7DU6+PBEXLDRob9RBy0josoi9SJMgIXgeFmn3hzNLclzbi6RrRrrlKO6W6g+gwX+mF
Np50sJ8voCesjUF/3+fERMFF69tVNvXS1+KytTjp9sZmZi+NPCStom8pw559sxzxouPbm5Eu3ap2
P1yx1e2P5tB0fmbE7tao4Sy2wO49jVRtbqjVOezlEhLQrHkhoGOGtMztYDOgqqQTVRu4OvghK2XM
FMy9bueb7iC+aSEdozyZplcN8M+Z7ryxdsZR7gwU8cMKUbf12GgTNaDAjsRe661ErstBnyK6WyRR
bPtS0wAT4SdwPK3ObeCiLjxwD83ttAZvGi5Gk0C5N8eGMryBdWqPU0PQsDFL0x95jvveniUNYZFF
p5A0pSONf56e0QXzyuiX1LQ+2mSTZoJDdALjGWPegDM7G+T9jAPr5GZL1HI11wifzCRgI+wGNB3i
5euCSWt4YWYEPbYe9lpr4raGG7tQY3Nrp6W1T1v5yY2G+cnu5xEaYmPskauVeJsn0ugqoZRXzITD
Yx9R0/CoykwqPJG5WKjRMnVX4VAME2RnaX8tApsoZLOWI3BQIZz+Cv+PsWdPNpQeecTkEuAIj/LT
VNqt5rlT3+/L0CrNNZFGpOIlhKRdTMLhpNfHoXZB3DDcWLIHukjqXD8SpddkF4oh1ZZDewTKE5kd
UHzIpf26Ih3rymI6OOaRmyF6CLL8IWiL+jbu9Lb0x0zTzxza6hOIGOCdtl6rlxgN9z1gTyVbiy42
1mrJf7cYo64vxRQd+tmUZxhL0XWsUU2vcrZXcJ0EsUpdvs6rgXwnlPauZzZp+pyE7H5IfcOUTl9J
WtcNiiTlS6UjglmNde3ealAVYx8/B82ssKLbvTHU3H3FSFwfplwMj6ETZat+Ev2taHvqMGW1nhVL
ATLTldFO1fDkeG0dGcfI7ZONPfTyztTJGvECYUU3gjb057LP41t7GnOxa2QTXhuGUVVoEtsUBxAb
6a8lB4HcM1AhmFs5JZkfWORCR7VbC88UY39uHVgKMEYHE6KI7qQZ4YxtREm1VVJQTw2XA3/Wf2d+
d29dJRo2tW01Xy2gDGSZuep8wqqiY8vSk71MtdFHrFz7zA3jPrHT4Euf9oI/GHTM83zkKVgab1JL
8tK6OcJHpeYawWdmTZBGaLKdtCctWmSMoj7AcwR61pOQdWwpP7y9No6QEUkPSG68Tucme2H7TWQ9
JzpBL4NDBHtaj/pDLNpqn1S2fY3UVnDV/FmDdMtANFP9MirVKQmY+mczO4WTEzyPDfVSG6i5ZSqY
FEUO/00tKh8zW3I1YUnfGiXCGIiXo3bhJM87JbhmuDI7yhua1mnrPJo0r5P8ESOp+YoWs76Rmj4e
UeYaGUfXqHhEfNY/93rWHFOEYWuZl+N22Zc8ZUpaPjNKTfIIJjtm6kjs3vGnKIhOTdlTN2E5lUfd
ITXAQ9mMg1PQaDN8usGTsaYOQMd3kkqM8wMQ0YOF+Lfwa6tOnww4HxBi3UIfiYTDfLROGoUTGe33
fKT0aw/YmzGhbkH0wj7qelU+xk2UPlD053VF3xQj6S8KR4zbSbXuCLMxt0mSY3nQDWnPq4Ij+LmJ
BwtJBhuvS5AWxp4tVvl1KoN203ZKvi5blfcVqAnMMQXP1VfdrHN+Zty/aAJBDpGMWENtRPNnp27E
qWE64ytqJoD0ZLn3HvsujTQEp4UWijcz/UYU6mOjCGttTgIqyYBz/0CujmJ7fHUKoYzTGESrLsO9
6ytlnd8OKLCvyiSZbgzalHdj1sONtVDCkWqUaQpF7+Y2dAcWa6hG58gso/VY8omdYs0SJk7MpmlW
iBloI5u5EfouMME1fnD7mfiN+slx64oEsVlxDzaJEssG09Sknyclvg4xt4YnBznvHSAqeDjLzjqB
5p8ND2FMp5HsNC/01iTpT7Wgv+0NzCPJShaGRT8FX99nbHqTctPrRm5sOxZ9qqslajuVMRDgMs2s
Q4/7L4AKGhf1LsWgPq7HIYgCllaD/VeZ6c7dOApjDQFWaRhfk3V0ZMpEG7k6ttPSypKzjKZ0xOZu
51dJ4YwPkt7OrdAH+2sdOMm2tEKENwQIKM+GCJSDQ8Wo2NaNJEpVCXMVKrpAY+3VdtRt47wS15SF
o/xAscm9hDhSv+OgNeJVpobqvnKSTF0VZa94jd5Z6nrs6khvj5YzaUSG/udY97+JAaAVv6h8/3XD
8vNU0usMfzzV/fV3/qdjqRrw/HXNtoB8qkSraf841wkh+E8w/jlSLZ12TnzMCW30f/+PATeUgwyc
C6qTFqUpjjR/NSyXDACXQsdSN4a1iVPn3znWfTjVLb199E7LGVFjaXP1D/1KAr8EEZX1cNXlLyEB
fVH2m87U+8bUcih7f4FFZPBDdVuOEOWqkQvw5YL2yb3O/Rb3V7ELLv7lhwf/twfB9+dAlWYfLga0
PlTyCDD7qF2dRCMyE3rGOTGzSSVfKVfo+gIWRe+V1uZX+BKhg34ad726pe7YKPOqzMwpLg6qrtZh
/kJVzLFDPjVChFx7G8hQ3U5O0b2yJLFFPHXSaBTjqFrVvM/wCwfy3klULI4GWa/3U91uADyah6ZN
xHVSl0nsTSyT5CoujjoCN6VJK4gT5IDtu9ddYhChlUXpXQ11tKe1axS9DRWpdHKsJ9aE8LHotIMU
VfwJFFB3zIK6I1+cE91AuFxMVNvRJuBubY7WfEUogzl8VUoVliezSYw2HBO+SqKpfjFgyMzHpHUj
5Q65c2wUPpZSqrtwIdKkHYOtncm42f5n1vjfzBqIB3/Nkzx/i4vXH+eMv/7GX3OGZf3hopRAKAd3
avEH8dn+VQuCGsk3hUrbZCpZPBz/nDPsPxb/Aa0ksmz+ZAP/Y87Ql3lmgV2pAmE02tp/Z85Y5oR3
lSDohPgf1aXVTinoo5JtopCut2Tb78qAbZFvTmfCQn/zKf90CQcaI1JcZjoqV2/FqB9mDXoiGSoH
QPt9oHspfFgFNaVj8Uj/MVP/3YTxm6ssN/rDVRBnjqMZcRUsUI3ytRxfW/N3xanfXOLD9GfHUKbK
nktQ/bXVGwQV9fybGXb5Ee9eB+1bPmIL8RrdC9aZ93cBtEsresWBHUUmldcrbriKq/Imz+utGRn5
n5/0u7rgj3XAn17+29WA4tGvNAEqLQvKD8/MHjE1s5vHYl+GJqcM/ohze/SzsMrW/+br4VJM5qyP
iwnQ+FjWUxuSVzSM2rshcsL7MTFqL8SDfFaBEf+m/fNhlcJbu1wKFAlr4BIy+uEZMnHC5NC5VIG4
7pRmbbojTwFbP/Jjrw7HfEtW7/Tvjg0uqgm67hiTKGp+vKgZB0JTSpSbU8pT1Az+sKRjeAQfGL+5
v58qpMulAPMtiljQyx8tpKmuVHNVKXKXTzQ4CL5TaCXCCtmnGvWvLJP1dTWJ0UuzOTp32fg77e8y
Kj6OUZZlpi3aQBhnP4waGFRVpKZhs3MgyfgW8BbPqodPvx4v77VXi0F6MQ4wMJe27kKYeT80R1G2
U0szdgeIWmztARqeF9p6cJVp0MPniQT0viNfG6W93Pz60n83fnTNMrVFcbTw3N9fmt0IEExNhwQH
J8mvdJO050SZQFIrakZ7NYxMWk9t4P/6sog0fv76qQ0Z3CzS6cWI/OHJNrhNkhA8FO26Qj6X7EIH
RBEIaOyBWccM0uyWqBWSRbIuOOiN2m3GRucVJKPYQmUYtnEl5YMWzbpYxXOTrGVr32hm3pvkLY7D
yZWErpUBERA6VtyNQCtyx1mShtqSlXEP0GDk3GUnx8bq7ZVTVl9zp1onjtP4WSn6XZfIpcQXqZ5C
QXSdKnZ0ziqa32ndwTyKCVC0ZJfsIzWzjypV+0cltwuMr+YUka2jWEeqglQkVaXxI8Xsj22YdwzU
sc3WlI67U+fm8ycaqexdK4L4Ert+tmhxHYI4131HqUFv23O+NbTmBD6k/TQWk3EzYM0jAdjO/FKX
yd7IScPMOmFsmpQ51B4rcXZUcglxXI204Mf+VrdbfkjqtCd7Rh9WkgeIsG9qxBmYGEthwrQbll10
EyT98Az5ZbrpZ5xiCL1HhgHhMFuyWF+Hwgq+RFUnkzVqgPmTNVimvh5m8SrliB/QbIz2u1IbI0aX
BDuHq8VOtBmt1rjpKRCv7OUBg3o+l8R7tl7ekj5jTfhCclhjp8wKdDaOyJv8gIBtwGekH9F0oJ/d
ZYlyRSjna8sG1humtntJ5vGTMWuvLkiqxxE2z8rolPhLm47JXp1qHomM+JCKwXid21K6XgSUfpfU
zBhJVvESzGBuHzrsT14+8nsko50ectdsHkAN2St4ZPYxp5lxrvIh8HVT0mTgZE8yvZaQlaX3a1dW
ckN1UkWgqM0EklpWuHKDKcDtywYeySSxKuZkaDsaIVxAmwkRqRPCE3MHcqOZ9HeIfrq7lpT11SwJ
8vNSGJE34MUoKcP9PaDXNCgjl53fu65xcVwep1frIiDFqNLWGtumKxxYSbLHspcjpYD8BUUpFsGq
g9R2S1k5vJmwtt0lBc5JXJmxeUFIk2wjuCRbYcjgKbAxcTJKlOBKG9wyWKWRbXdLzbAjQCowLggy
tPVE9s1qnIkemCpZn2qFXrbI535vuZV1HeBN2FLi0q9tkYenwTAfgrxGjUUNkkKO2au7LqotbV/L
lsJfN2bjCihH8IQVJaMfMpStpxNpvS2nyPluJKnzXQkXS7TSDEdpC/cJlqTww642BMchR/VBAbmY
M93leQRqSnFwHl8y6JZALfuRILiwUnecqCbie1ztlIWhca/C2PPBDyC60xVTbB27kFuTAvsXRwt6
StpmdKMCpiFxUsustdGNwITsmOi1HNHus0ib9lADcrpC+EmuBpqrc9GF7oWit36fue1Eo79xFH+s
hXkc8Ppck6hJilYlnesEvi7YWHO4kQAMr8ckaq/GprZOYrSnc1O75jGtkJaJ2kQNOLXWXUU5lozG
ad7Vg4K+xlRRwXq1WCYvrHntjUQKXnizSryAV5C4sY4dvaR3NqhYDaw296KsjO5qMtlezNlqdqJn
EkrRkG0ZGuZ6JGdoU01VA+IJgskaRHmzZkNJUVE16mM2WAu1rayj+xlDV+gRh8PPNIPIWieuTdPB
LuYDv214r6EROEzpVB/pK06rzAziepVYhZpQK0vcPWY1c0PtzVrbRoimFaca9omxJP5t6eFFKQKT
wsIvvHIQdIKrWZKlJin3ilQzbqN2pg2lLMW3g4W7rqmZu+oRRNASg9aCoMkZr2GO1k9D3bZMY316
k0FL20acbVcts8BXbDGzT6SevWspq7/aKll+WuiYR2Krii0IM6RZjpJUYPRL8USrB6FLRsz698bt
0AE143ChiZ0e3v53rbDMO1pHco/lEinqbNrDZZgTtJAgeH0iBVHZMYbJi5ugy2C7RLnxdsl4rhBq
oN7oV92kucTrZK36lKZt89leAp56CGbSM6Su+G/6v6KiCqg1CI6MYgweEyMqH/o4z7dvKkfTnAM/
noXKWq3mq6FWEViOXXqwyu4bnfV2j8bKSWknJOaaIDt1Wd5TJk/ZX7mtyuN7E7NJ4cZnK6UXIJQ2
JHNVlOOuhMOlEYwt9D1FbFwzqtPnh6QRiFns0mpJm10CzhCU8gurHN93bpxad4K+15e26Wdixxpe
XbUozEywo+xnFvXcXHVcNk6JfRtRlnkCgtbqTXdWxdaA9Xjk1TuknpzKRcjVZXr04pJGdEjJH7/L
pWUeAwGvMbRIG6SHR2G8Zr+55SAq92CN0gfcqe62QP16t6iHfHNRnToUw7dhSqgXytt517g0mZTE
RtJm2YoPudhdlW5D9TKwxmtdTsY3kdeZX1QMcCrTsOsZ0StbNVo/N9TiNWEN32uN2twDlYOnFjrh
tRUp4aVNOveuSHKUxEbjbmNZFcRg6NaXlrMolu5YC07ZAC9j1eSFu9WAiF0j0kGEpaj9a0+k1Kcc
phrNRiow6yX77s/3lFLh+D6p/LKjoQ8b1ajElRlnBL8EKZOMnk6HJNM6XzHH+BGWrnPjAgTcKLSp
P+sdtrheKsbnxKymK1YqaxPVkbKe4lhZKyBSdnYQlOc5VORtGeWFD3E395UUO9bbU29N9KVl4zgX
LVU3KnHDLHxNcjRlKby6RCdUdPS8Sgbihnhu9WjXUeEXEP32+dQCsK9zsRqlavARg9I6dPAtL4Ej
wr2gZ5JiEECxOztkPbqKAa6U4sRxduLxigjewM/xJK6EQYPMQ+GYXsgOy/fWNFpf3IA+Z4v2CWNO
zGJIOZ3XP9fzGSD0fBa0e2hYunq+Uqc0YgoU4jZS4ifS5FHbRvW016qguEBSnNdAXrvQm9AFP6iU
/U2vAALnz91EZLBI3VPmTonXpXZCnExEs0DX0oPR5fD/BkSPwh4UP5DVeKnthqXbjpCUwDlWCOSc
oWWvNWSs1LMAIvusTf2eqGSK94HR4B1rs0KskDuW9105FpuOCYc9EFakI8qZ9lLTAFlJyDUraCcz
WeaiOpDDuxgkkRV7dVoo938aK2jksWM2dGC3RDIjtV50k61JBM/cxBTZnL7WPboU6EBFkT2ogLT8
vJrZVruxeIKkgFw5R2FhDAMCP2qOpCjFaNYBVgaHqOHDjOk5op4c5huZ2vbBGozJd9pJ7inZ91iO
p74CrO1aNBXaHjOyVzT6fKNaI9+8osOjWwX8yz0J8GHruagBTl2rJKuA//U60WkEAd8ivL4RibGN
VX3e09GxtkMdb5c7utjRCD7Vxc+ArhVxZRfnd9qYSr8ES+rP4EjIgS5bUmnMSfs6gQRMWBvqO73X
cd2msXIMg/66QyTjAWqOaBoprw5uio0wii8I3AWUYBLkuY10namAMD0zbOQGJ8Tgk12qbYMgBhHA
vuRoBKbsVlCGbZ8dYnSo5v9P3pntxo1lXfpVGn3PBOcB6L4JMiIYoXmybN0Qsi1zJs/hTD59f3Rl
VdkhlfT776tGA5kJOG2LERwO99l7rW9Zpd9hP9RFWhPRaJdQ0pRvxHJcTXpr7PRpLNe6TR4YuOmQ
W9P7sU4Wv3GVOGS12nMiBl9TsS7GEds7GPiflcpokCQYNfP5VkYB+LyYQSaAS9XtlENlCZM0HcH3
ZbgLTbTHFs6KXV3Au7oQVRKjWIeKY6ekw24gxPX7ZcmSp7gfrDAHqLZs5n4atgAc6zuB6wjdYqxK
pAl6cpZktrgmD0t8VmKgebzVS8Ztov8mBse+czRIroSMkyXUD/Ny1FMvR4iZ9CG8RsQ3dSzNa9Nt
lusstps7EYOEBdvnzD5aCyILF9veTk4TQQlKkn3hYWaFeUE3DhzzETHPjMiwwzbQLOWZ5ilGiPLG
8hpgvbExih04uDw/a6uvlPfaF8xG7oXm9Z3qN7pV3wwya5SNXvfjdbQAmOgAEO0zJWl3nQuZQC9L
VWxyJtkM/hquYsBA86uZmHKEhrbMV6bWZTcVyY27Pp2bL3ZDfYX0JtEvZ9fryKJKnGPO2P8xmh0V
HmPVG5/U9Q1pa5jW1cRNwgk+3FmSuuZFAn7mEbkKzOtOjsfCiocz8kPyb52Z4R5INC5uDbr7Gtxr
+b1sHdUfbM18btusZlaN1Oio5bp5ztSF7goBBXAzhspkr9sSpDiD0HswKqfc5pGl5ZuUQfFlrcwv
+eC4n/Xaqbaqt7g+bukFlGmR+dlQwru2EqC1DbaBHmTmNAb23LCSZUUWZmIoMBMhXA1gl9rHmV1F
UCfGshk1OHmtWHCSl/fkSn6eKrgVMav8hp6tG1TezKZYE4+NkRmgaAmi3aimI9GIUBnva88u7+u8
rM+7pdAPTRNRSqE6BujLyDsXbq+ERku+a8h2yVZe5q7oGYM21kHrbfdTp0iSFUTv7tnFQEhW0uih
MJTunJdicU2pmD1PmlE/ZDKXn0UvJmcvFEbDRBrg2US2Y0UW2CRKGlPpqhvTwK+NdzednvLGZr7c
g+U4Dnr/Ao1sBIDtEl7muRU2UUwjlVBtAO5OG9hKfrnUA4Kf1lCKfQdawh+5VORhiDHBsyC6SxqB
8WVGMQSivcjAV7uWvGhiIoTbJtNvef6/r4BqCBrdACGcYTbMzm45enXbX+eIGAMzLpJPU9MavLgc
batVZXTTCrB2tMGezKwdn8x5ult6ZMs7x2YMDQJa22eSnNeONAMCGvriziV3qwPUKZtbSy3a0o/s
dmcnvYoEcOg3Fnc8Uora3BOL4JzruT2zuDS9g//ZY2+a6fFXZIkMcFgJURwo6Nfiyblnq8P7JPbK
pwhhdyBi79GczPFMFZq+56fogZxkd2em5nencJurgabW13iJ4MjkyGE4b3N24XnLuB8ahzNWu+4e
/d7U0F/hpBiR80jQsXmfDjVitD7lgW081A8VNdWc2N7OUqx9ZyT6NXuQTyzI+dUkFvsIrrHddGNn
b0VRRc+1ly9+0YwubUIjuyROB/GYpbCL0YELh0guYbQPY3VbITqjwlXoN5eQpd25vIlSxb52pBoj
IrT1Sy0ZjB8azne/zkaxhSwaH6Mq6a8qa0rOCyu37sw1jCL25yVS+i8ZNnHSgtp9yXK7HYSBqqeb
1Jso6u2wGEXv111e72dkIHcdK+6mn9CZeN6g7puiv4fcAAcZx/LRgFO3B6TyhA/SCbM44Y1FIXhk
IVXC0vCGc0o55zhiSLhsY5lT/xJ73XfkGgZFJ74aMsNz6Xa9ZAvAlO7rmm6hnmn4Us6gQGYB3ZKR
m63V73tdAeCgeGh7LzF3xqRLVFJO4BdqYe1kRRvZd5PGu6zmprivIH5uSmv29knaxqCSvfLe1tsX
Ag97FAmUKo00mqO6jN/gPpdHq9BLn6KKTZIcZnTqeUZcuKehddNCBUHdkeffwj5hfypjamMT5lJI
VVjA9na/tZjaAqShkY985BovwBj2k/3ssAWZsuXcatQbaiibzhltIqV3tW+mV4xnZk3yry3RmKNp
ba7iSAsHT4l+JLZhXVuqot+0k/dDTqbyKebRe8BgQ5AewEWJjbCZogD4rLMhyQ6Wtzf1KBhlFdhd
PGyYp5YfeNhed0Fp/Zrof4m0B2unGb/3X42WGPs1Fy90JO4LrRwebKTtYWyzu/UcGvnv913fGoIY
DFuwWsIU004xNXEDIkhxZw7Xdta91OWeHQDKLeDDH4xbTsAEfze1PdKHKMOZuJzOtL1l+bupDQZg
/AbNgRYXiPbvINEJvyRq+IK+krq33UV9TqJ1RznSj3v/677VvUehYMM2M94AUOaO0RE2qzahAVfi
xkJcdyFi+qTvH+Wtk8olXHvYKoPPU/6OiTWkN0tmMD/HIUAe6Ed687TRTMLI3z/UW1/IVMkGM3GR
M2JcP8ovQ6x86qt1hM5kaZSIPMf6Cfvv0//dMU5GSqnV6TZPaxNqenex2M0e+vw/vBb/cRb35s3B
/YeamFvRcl7dHF7mjo3eEWnDC+wi7lX9qNcV3fJhTD8nMJK3shrUqxiSYYAgSj2QxvrRaOf1o4cM
hYAzEOu4p7hRfz+XJhEThlJjg421BnQJMmWfiHN5XiiZPOTC+4jR8/ra/ZS9oIGBDao5p8+epLZy
Z2HIsIQbfGba8w1KY+eD9eT1vQjBbnVa0N9BhYPG5rcbxIu1bmnyQoZpF6MCF3Xq12I4dzIamu/f
Jm8ciS8BQgjVnGWYzslt4gEzXubZrUOWNqAqSntGPM29aLJP7x/njcukOSYCJK4VK5e5TrB+ueVt
0HWG1zh1uKQqCarPxGb4WV75Ka7R94/02o7h4v345VAndgw2qjb4Eg7VDx7du8qMN+XoQOSbvKHf
yqFaHmaLwTQ+mKgJpEmLT21k9AWogrLtFr3bZoyA9nrLXrps0A/RPV5g0LuZwNIwKQe4NMsFxHW6
erIibiWmZUxx1W0JZsu6ozNgEhzrnjYWqOoC9BJa6tFOlw++6KllkIEjo0ya+5hvcHJZp1O/ooAo
RIgW57RNukevXDFGg3s723b6XC69c+yLNUiywIELQ3vn5DMbp8k+2Db5URbjGU2K3Nf7hzKiOurs
BDVfiQHPBTrA7rKsc7kFnUrTITUcEHSZgVh/JOW3GXTnqGRK709mbYYMuMag61zd5zhZwD7eOc9N
tAxZjqJxYr0OvHj0FyeeApO5rcfZ0tGTekurfnVQeH7w0nrjXoP+qK15mtYKfDq51wiXQ89EPEO4
ZEp7PsCBPnDVpxCkKlr5KTLG8P1b7vXkFxMjZA/QG1iQARj+fnPLGovcKMo69NwOCX1aY7VHaXlu
G6LbR27cnSf0X+6xQsR/RMdbX88GY211tV6B0H0lvmjIiFMgIlQhe93582CP2hPOd+3e0uzs5Y+/
JFNeViM2PPx7OkNnOELROffgFoeG1ig2LGy+om8DJauaA/EcuAxbpmwzCQp07t4/+BvL1IoLRsG4
Rmu+cn85edyz96yqsI0wp8oR4+QUM+/N5uaPywAIbDxPDgojkEyr1+3XhYqNYBtjHi1C3XUf5xmC
iQ6ogafIMP74NqXcQDCFMAoZBvDE348ksCT1MdA8hov9GOAXC5FWX5HJY+/YfX7/0xNooiFE07ma
8ZjpntyicUqargk5K2S2boSKmEmsGXEx+G1h5O0H5/D1A8jBKG0oDSymWqevL8mAOLH7km+mmPeJ
oTzKxf2eTcZ9PNof1CDrs/y7soNDoc+x+Wqs+ad43TUFcK4UprEGmd4GDROvBvLgFAMpaNVwpFfx
UTX69hE9SlFUsDx0p68XUzhuvR5RasMx98RzPWv3RrPS0xIbgE2vn//5paPwBq/ierw6T1/RVsu+
o4ucPFT6/jgXQ2ia+VVqqx8c5nVhY6KVRSMD24zq41RZBXV1SlN+dDgounKvOLgAxMQb8f0v83qp
5ChQl/Ez6tCITnGekwKiLcu0PGxI49iw3fNJdvvhVPZNJjumauA9SBr7YJX8aZ4/vUvWhcOxcNez
Wp48alG5dB76lzz0LJwTK4+Qd53IYc94jOoWYtYA1a10BKU2c3z2iyfofavOvptkfEAjW+xGyiIy
MOWt1+d5EAtBcbCWBbLWrTO0MfaDp492iJ3b+uDTv3lhXG/d/GhQ2U4vDHNJMgZMHl1aVNU2mwHS
KBPNjvcvzOsVlguDrtLxNCTnr0rO0gSUUsV1EVZkYm3qegjVXLt3ne6jquWNBxbyPLUt69CaCP77
qgdBwaiErFiIJgHFWIkSrI/qtHv/27y1AtmUAKRcsinn3P1+lCVTdVIzlRwFQYtB1eE1NVm489u2
+DpkWBjeP9xbJ4+vBMAByKMKU/z3w7ldCuYt4RGd8+j7eu6a1L4pm+jx/cO89fCsLuMV3crG4PQ2
ntq8AvbAw1Oklnudzxp99sj6Tse13jWx5X4bC5EdULH8LaT+jzu9t9Y8FLEmdTWSwVebHvonamKY
Qw7NW7/qKuV5yeB+ANDMljuW6/37X/OtG55tD5g0nAFAtk/OZsF3dGzR5qGIRb4vQdjfjHqmBO8f
5SQAZK2d2INzMnVeRwYy55M3vdfrE3mOknyqflQ/pYla7xQUxxtiJ1e6ZeuMD9lKrOzrbriSc5Vf
WkRb7zERYGGdBfSlOBOBJiNcrqPLULbvs492t9qbZ95hh82TacB1O3lcmqhVrRH6cEini15hJ5+1
zqt9pCXtIXXcx36iO+GIhE5mBdAiHwdwEl79RH6vv9gCPOJYmge6SN7GBpqGx5Tv8f6JfONZY7BF
Ceo4BkzY0xdi4fAZAGfV4Vgt38WiwYkUKKqigiH2/Pz+sd44HVBMebCtVbFK1f37g6ZrGKZNt6O0
j7TvKg2HoAQLDG+kCh2PlAY0w90HFcYbD52m0banouGN9arEHppinhpgZiHg78/kYSi+zuieZmaz
bECbyAfZjAQnadUQ/vl3xaJDSAGVjWacrpSm4qE5cts6ZK92Ke0RhlhT3CBLjjdJHn+aXSv+87qN
A65tAJ0Eb5ayk7NrM3JoTcgsihpLH2Mro0lSBW9G6ZVhabORfv8bvrFscjxqKPIREK6eZp6UUWMm
ac2pnQYAXIXZjAGEKxkYyOL+O4eCr7NamlREdycvBOGYaVdWbNE0r66ucTAvGxLd7LO017QPlq+3
7lGDB2r1IayS55N7dEAXUy10BsK27O/7pH6xLEn6G9cvjeUNgPruz98+LBAqZFG4GFSIJ5dNIye4
1tulCpcVZaQ6423TN4GgD/DBgd5YmNEW4yYz6Dxj41iv5y9NHLGQ+6dGbAGL2HqEBLd3F3n/wS1h
8DNOSrXfjnG6KitZnplQuENUvdoGO6Q4tlZr3eq9HW1gUracRZVo7LERQWtn8UM9NphGLQY2PX5I
mn+9sm3IGicDZkIGQ/TJdnTnIkyNrjkCZ0xuSBDCJDlDm4qI/ttDvGU2lbukOmJJOiQWFLyF2M9r
S2sQ7GER1W4XD5yUWmltTlJsCxl4kJHHBmqKr3BBUh3WMCUrTPZXyeQke61pZ5hc6LQGIyFSWWmG
0M29+7TOW58znO8IjmTwn6AWClEolZt6XMQ26sny6pZ8PK9NA7JXmvW790/vW/cmb3FH4z4hufB0
/YTjJrvZ5t5EK/gsp+7ZTcSVaSg7o6y3hGDW/43HjpqbYo/2Pcr4k2fBSuZKGvFchfjg157T5ajn
h7GrPiheX/sLyLDDPkHjjx4Bnsnfb0xzyhOjmbwqREl6I4B7IRxyv8n8gUnUBVNpv7f0p7ipPtgy
GW8fly4tZ5TN9WlB5olSwhWw6InU8/I5mVRcQo2p3KB2V4stg3P2ONIqo20H2SsAW60x4apYyKU+
HCykvhbpwwdDBYqndWblR6jDuOHEHuMHYywg0JaGu3+c0APlzhIHXqfZ9F6cJYhJRtdzs/XdxZKb
vMvMfNMtIt5mfJ6gK8QLwm9cgD+d4dModzi6+P/Qt30Yq9nWURz9kzSsjy7FW2u6bXCPefgRuCDr
KftljQC1bZVVPlSh2j3PWCY2oMb2udYNH9xZb61FvxzntDAaxAAJyxur0LVWGzL9Bh9Ozvb9x+Wt
0sY2VsKzzrzN/plW8suXUSXcUWk2VcjQCYYWhD424491Ds4CyNkHprM3D0a/kj0LQO9XZa/dsBhV
hKEjwrEh89TLfjDFDhkYgsou/eD0vbUQ2LT9eVtg2XtV/BbzTLwSUooQ0vSN3hLoqUXzY100L6DG
bsrE/uBMam/dFw6TNTaweKmc0znN0oqC80udlpHhgtVD147u0owHnV58UBtKAsNFdj50SeM2VaMk
nGOUzXGdVhdu7OY7rzbnBwdfABrtKDY/ipx78+OxINJGon+Lj+f323acolbJE8qcUYoXw4s/kU57
VxgMk9+/o948juOyU2T7u/pmfj9OOyhzIhDlhOxEBd2c7rmalTGo++aDF+lbZSvNKdxr6vof5+Q5
NEYPGTcCrLBDOJ606NzG6qapLSgL2lVRy3uygT9oVLx1A/9yyNOCNVvMAqGOWoZAuPYwUF48s0Dh
ah+bevhgz2G8df+yI2VIRvnIXvhkX9StpJBlckqWGX1+6hLxYyRMzB8KzSUxIIt9RSgphC212qZy
FRwr2irPalD+eEP7aNJUeYyk24a9jmwZawtmg6Rr7uLFqwO3KgpITq27m5zR/eRarJobm5RpHN3t
BEdqbW3W+g911NG0124wCfUpq/tLPIliCzrjJXWHcVPORrrty1m/Eygvednr1gd301tnwVudurQ4
uG9PB7BFIdq2QqQcLhjCF1LxNp1qPlrCOqNn+tilRDG/f/u+dYlXe8ZPwjn0jJPTLjItniXFUJhK
T0Ec04ObJsbdDYw4KqI1Vrr49P4R3/iKvNdXt7GHEefV7tKzZ7fsdKMIc2CP26SZ7YsqoUKbCSp5
zBptAe+WfH3/mD/1GidFKNobsMQ6jyhb25OvGStzwWS2KEO7XCAFjL19Zyba4FcGQWpJXRSfhA6A
MTORbP3UKf8kcJc9/NkOLdFeGUcksx98KI2l4fRDrdUNmx/2TK/2vvFkkVo98EQTPIuezYjNHao0
Y9dGTbv3HBuErQ1rHATB1gM35s/MZJBfm1rw/gf5CWU4/SD4wpFjkBDBoE3/fQ1TkUbYZZeW+JYz
g9HIKm5OjWK5QWBZWWdcLufQZUgS8Vm08KxoIpOlyhw1bZLhejRGdTfPkfo5MSm8QZiqnymLQXaP
3FLYJvIdyh5rjy73ZUaRyZI9bE07S7YIBs2gUaouTGzprIm9TuDGZ3qdG3e5UU1XPLY4UeC+L4+J
23vHQnW+qP2cf7Axf2MN55UJ/oIBALXfaeOIdltWtJ3B9y/y6S7BnxtO9pQ+piRl7d4/128dCvUl
WoMVzfxq28rQSUoQWWXo1UYSCKInqTyA7h/JnY0f3z/Wz+t2el3X7i/8CrqM+Ll/v65kvBL7DW0k
FMSguRuYbjOOj8XU9pGoh6ByCu1Mq9Xoupv08VLXlfhG7xTw3GRV7UUF5P3nB/ojludF+q2Bkvqj
+1/rX/tWi7kBOdP9JEf++1fkxPPPu39k/1KvIMz29A/99mMhUv796VZ+5m+/2P4EL9z0L818+9Ki
4f8nvHL9k//V3/ybyPkBy5MO65oQ8S+UwCuW50VdURfQOnv5+aEO3//3//z77/wKfUHCxI3DS0Hz
Vq703wAHuix/gU5YeZ3sWNBJ8PT+k/ri/YWUgN/CqY3hHav0v6kv5l+GDd2K1q/KTJQn/08IDshx
f1/LVAsazc8NqMEciO7jWt3/UlivGHVAjHNy5QjhaT4h5AoaiUS3fEva+Rw6PNN4KfI4gWGSGuIi
JvqFeIo4+d5GCN43DsYt4btqIqdDssiygmrn2N+A6HvbskK6vTFLMZ+T3twUjyntmPO6XdTvmRFP
HkBOJFibdQg8B6UyDMYeyWj9gEbE0Q9Y+YbhOBlpM140wq62zI0m8nb0An30TF6p0DzT10gL3xBD
cc76IiAlCheXS1Yt6GeJ1B162FE6DMyDOUx42GaKrhfUdT027HXd9twoAaE9Vlbim3aSXlA4jbil
eidU6N0cyGwEH9Ok1YQcXiHyDz5ZrXuPYzXRgIZKWPpljNtkM89L9jhZrfCNHqFqP0/niaelGMEX
rdG0YMyhpQZ9XQAR3+DIgv+irSgYnUq/9RclyqkZuPKcZXXpNch54GNwhrXXrRgz+2yEFPmNMzKf
5f/AzdBTXg7dPzA0ThNP+ZZ38EbAOJzEvnEFoEed1eGiRjydmgVL5Ex3tdrZC/YWDQAXLFMjpF+M
MXHy21wMvXO2IKFtvMXXWnqh03ZM8j5L4CHGzcQ+WStzzRvwM9IPBVI2aYwV8wOiG8cRgaC7/2Vg
cnbbttgyC8qS6Tt6W5LKV9D+D94z+mhc6hXbUu3OKSNtZ3cpuTsb4UTOZzEWvUnKI2LckdCxo131
ghPV5MDH5gJfeGoCXkOwlN9oWt1sVcJiV3XweEXPedioaZpxW055Hcwip+hEXnh0s7ze4s4F1pqi
Xc/r5EpLxXTb2b2ZBpFS6EHqNQlMZNnFR9ftHJMllLPt6/hlQrVSB6REVBoHytdmtyCTea7JMPmm
wxUwsJa0trVp5JJsOhcI4ybmXWswrvS0Y2t048Y04uKYETqhEVLXPyWZCcVzqU3reu0oW3hnREwz
xFTP4swsdyTOKfvBwLnicLiLAtHKXlu06aaqO42Xcg5dBVqYsymlO/YbiA35ma7FklQjvR0CFwbm
YRhV6zLtogwUWleY57abLccqWtQNkzgS1vrkmc+Y7Vy11HZ9EV/aCYTsoDdtko+cls5JHj0lTeLR
XVuGvcD3vs2xRh17zREPWbtcYie3btY7+yrSWjVwVANnjNQuFrhqxPWJDuspUufVSIYB0xDqj5pZ
wVVt5fHnWKTLWSNN2mpDXoRtQcrlnNoxGLwh30ckHW4iKdrvUCPbPRlg3l1sKhT8hqufu7nzaYG1
WxmZhKYQ2ef5MljnIpUKIvt2fLRkjXMgw9VwPqWG/gVdNcrYHhZ3zKBZNW6pMXs8AK3xQ3HcBJcR
Z2OXL7jr+q74xp7Y85uUvUag9LP0Nvlgm3cC6HiCQXeov5FKGN9bmYnQvM4b62tXrnR28sr4GUI5
FG6h+wbOyY0knv4wqnZ9JGG3RBqTZdtoyKadUcVuOFm0T+GPDu6mJxVt11kxJkqn79IzzUv6+y6h
d1pwfu7bSd5wW9e3EAbOvRHEo5VHXgg4QeCxNaQDL1hJvQ2bO/c75p3k2ivcFFJOXX13UtXDejXj
iRAlc9LtXJtw9lXtENnZbVc27mE2hinIubvvoJWSYKaNsx56vRH5Y7c8uCq+yZkMRGfjODK9zIqB
lb1XjScMXOyokl4Bi4ckN5iItv5iuaMXGJpYbusJd6jpNONjnrBPs4wM2jsRmi3D3+mbMlXDdtCN
7kec0w2EloubuEja/USyxGe9WkpSE2HcDZiprmc04zsNaOa13jTijK6oujqmltxvJTKPXV238Rad
ufrssv8JTARutxke/86fx8Twk6xXMN938Q/c9mpYDZXzxaDKVZD4NB6SqbHwk24eYKzHyRhUNSs/
Mlqy6dzBvtDlEuO3V4ydGWv6Qyw9gdjfSo41sIJriZkh6KQ6cGa9ZH7B4NTd0bWWmS/1KAlaMDIS
V9JqF5mkvdG0QT8sGNZ739TlS1lC39Wm2qNfrtcXjA4zn3Tm5nyp6vGmwE9IsexdyIEJFxxP/P0H
A8vMRaJqMtB0mT0V7aDfZ7QuLhzhznfqqME8UOzEuzW9qQsHt5sO9RSlxP9F5mrIStUr8uHyx9Kr
5WPsVs11BdTxk8ij9KyfsCgko7s84Eebtwxgsz3e5hmLP9YklQ13Eph829qfOl3tDlWx4FKMnf6B
FE1Y01iUCb5Nrcpnh1xvpZqo17J1YmPruFF9rFCidz6RyTO29rnM/bTR9C2WGYPz2I2fzcmxNtaQ
2IBISqKBMxktRy3V7G+IY1TFr6MqvY47cn3tTPUe58VqQ9VceNG7lQr1oI3bdGcj1Tp3UiHuI4ew
qY1iNTZ2jcgFUOsCBu4lPphWMND4xyzmj4rj/0LZ+1+rn/9fKo7ZAlMt/ufi+HJFGP6P4Dmvu98r
5H/8xb8rZM/+y2IYTI2HX4QqeO1T/7NCXomJVL9M1NY9F3qhkwqZVHGTQELUUs4vFbIFMw3/3r/o
Z39WIf/sz/17M8a+GiEWe0s6pUilECicbLKBnwnSmh39fEESGS97nDpzF1EFQnSe2wucg95WlA5e
48G1MrnBa7B8UcBeaKRIQRMehHIewXTczlIpd3RtauAtS3tRx1WYNEZ/dOXoBGbh2Wd1Xyl3sqKI
rKtYOetSd63oSvtucMX0kOGarDZ9nSl7TUjY0C1vQptqC47Aou10KdNq4wFKw8GG3JfPzUNtxSF4
kAvbKJsjO0147DK6wdt9BacXmjPIA8pzLZTY4uCqubnvQEAlSZ3M+twLklh+7y1tDPpMgMkfGlCq
RjVfwEOMt2MHanRQvyWKnW5k0eLcRlC2mwmx2Vu1jDH46nt8P9UjzOps24LFDZYCq+3UXGEdN7c4
YrtnbAvGrnBK1xeWwFlS2hy/5JXImTKDrnK9cG572MxxUgelRptJ5Lrnj/W8vkbFgNArAxHvqb5s
gZKUIFsw8Hr2xlSRNSXMUIM4pYgYV1rQQNrcMU+di0Tzoo1mlLdQk8ctor69R4gK1TM59WDUNrNH
wB71mxrokQqwJ9N8RmifrG6Y/YHCassbrQs63pZBMfex31iKvS3c/mvZ8h6cpvIoKi09Ew0ZIgaV
dL048PALsbMW3E99bisbhnAOMyk79CLv2M216rs5aN4U79sn+pX1hmmUxeuNl73RT9MOLhhxBdhO
D3qdZPdORv3fggsPiPmQdGo0awfIcg7aiUR0SD7IYtx4P/V4mSUbi62nZU9iEuaZVHj5V1GJfMKQ
Qd82I/SMeJ8YPXmnUjAeK5Rtnsn7urU/udNynunQfGPKoZ1SYRrQ1CXZO6J8XqzsCbGguc/gQmEC
hxCseplylLr3Yi5KFuDLtALuCYbu08YeuSXcJkaMkmEJjvPZ1+lV+jnB0gPQAh/OhYpd2TpIPdOe
ZnPR/Lxpz8jq+7rM5kSbyRXbLM3m0KrIbVtQC26o4Un4qjIZOLEww2ShxDOJXPPVgv+Xa81n8DZl
kDv40HiNEXxUz3JPoKsJ8Mkzd3aGRzwysodGt+ML3KTlznC/xl6rHpE1S4gbtnJP567EJG/DuCcf
J70th9yF1myDC8mTeQ+Tt7lXq8kNaJ2Srkj3KCDK5aLtiA5lDzJuqQjs3ZIDP7fwEWwrGGGbjmTG
69Rulq1KG3urtS6UZTD+AdsyQPBOZh80HWd3GrtDqOvxobMG/ayFRBEoeiIeegjmux4fT6CDuPZt
kMsBAiVe1xYmldbK1Ic5oubrYDvz5MplR2/e8b2efSYlVHWXK8Z8HYlePWpEUVkbz2b/648MX7a2
cMdg6kobWhRQaWNm2s5H7c8drPT8QeW8AvSyr3P7UjHzr+mAYwHMMUh+6ZBK4RII4SycT7G0VugQ
hETnQP0BR5oG/cjkQwykDWR2dwdL9YAFy2YC5RAI1Vi3dpTJ7aga9TbxJrlZxhUfZE7QUqX3jTr9
NmVzGWn9dYF8Y6NmKfSyVHlBATrviobdReeck/7XbVqcI6ONlboyq2pHHHfjl00rgjkayL3EiYOf
LH2WNcVs7C53ba0T6L2GBxW5o2xGt+98DYPRGrigB03FHlmN7eZi1p1dX+rPnjQEtIxsNQm3BCTq
UAJKx1sx4hvsURkFrXwZCGwGUTBHlxaejb1asCllo5jvskIftrhA2g2AeRGMXumGicEuqdCfEA2e
w+fKDq01fXLHlgKc3TbpD4Z96NW0usfh+lhESHSEcF7sZKS6i9LOH+PiXtf6M8fsmkvh6scUvt2G
YIDigh76hq7gdZFEVRAZietHUv5omp6gIM+MNtbS13u0HmyKLcJHyDspzldb3N6cGpcSnl1HkTFy
NZInj9by/WzOYQ1t42yxEUYQJS9BAhRDMLkcsVqWezmY6TVIl/NM4yU0KRFmxZH2Uq7Fxa7pwYKo
pXUncngodifTs1m2B8yUAPcHQ2EfDcm7SHi9JKW0v9Db/QynrQ+d2fle95jME3zdu17vxv1UTcou
hjflEy3jXRGHfa2SnbEheGb94OOFAGTldxYtqjK6rbOl3mIA2gH2YtZkm8VBS5TH3gPtIWlXGGxa
WQv7/uAOS8NakzbbOYpsfLJTeiRzY2R8xSoHGN0CCwbEmE0fPavFsHaxM0KnKISBFUdo+9jJHsch
tQ6L4t7PXXvW5lDyyZP5gffcORZVEe0UB3OPKWxtB0jT3WrQ546uUHUaA7zJF1bVXWM3NTD+eTGq
r4VNhN4D8qmopbCFaIfMYhpB+ArKcunW46cuGkpnrZ/tNis2kruvdK8AbHij2DiJnq8PWZ2RP26E
Uq9xjiBYJOTuwejHyqBanueGaPIt3l1WbwQTbJHSfFPpkXULL92xmy/AcKqlOuIjbB3PJ9nHpXSv
siJVkgJ6RrM0zcWf957/fyyvDfwalJr/ubz+9EKqQdX92nv+++/8XVlDCDYdiOI2dhOkOACx/1VZ
O8ZfJuJCdZ0c0X1GzvrvynoljjNQxMPEUInSl0nIP4nj+l9M5FdC8Urkpdr9I3rw2ln+d12NahQ1
EpZbPiEHYR930nl2taFf0tq1QhCRAAyTxN1kMWCdX87J9T9+3q+Y2nVU8stRTJfuNt+RKh1hHmfi
ZJQS9YPUjTqO4E8i+mG+7NE7maL6qeqG6Rp3onEoiIAhnGbpxJf3j71er1cHZ2vjqh6nzeFk8/u/
NNdxoRCHnlPBxqZX5zunacdgmDSOa6n5babp9XPslcIjGzM1gnaZ05cJKQgNtcY2COLRVrJMlu67
AZOmIRV5/D/MnVtzm1jWhv9Kau5RcT5czFR9Oli249iJxzl031BqWwEEAgkQEvr182xAGSFn0v1l
p2ag+qITO0t7L23WXod3vWsnkpgFLD3KZJVg9eAM2syKIDi+2xWO/7iGLWT6E5sgLqOl1yNIoyLR
34SamxtjXR696+3xoM/oMzxerRWgzJGzrz9uDbWa+Bqd4TNlXQvincPmt73H8FwrC2rWF3mH9zZj
jd5nheuO1erIMEIvPF7B7Zbc0AcaX1Gg157W0a68qtNjuRorVA3mP97Dq+Idh4AqqUBk0vD6Crtd
mMZuV8ODCvRws5/m6jEZH6qcIVbMYPrxJxGRvvrGqcrTAwoewqJA31eWxdQdwik+qSJ2uCZ7wpdn
u9vbvDS2H1QLt/XHn3fxEjXHm14H1xTNFa/RMrpWpOlaSfi8IMo/YFEY+gOR4p/A676jP3rx6JEH
IOzq9Hf3d+XlmIsE6sTrnLFRTLhYfd1AdXUdF+7Tj7fTUDlfvK704DHOgBcPDuZLo7Ai1ebtOYPX
+lFLbo5OoeMHcmbqmi+uXht0ltPRVtAWU8aPdWW5d6CZYij0NP8x3KXHt2swvhBDCoo8u6LovdEi
tRpXGmx1QbLxb3Fb6nnE2fxYBcyhmhhH1cTjgH2MbHXAhxAh6TPaWaLrQreLz3A3Rtc/3mQLGO/t
ktYUmvUBSgKZ8TxLQC3O7IKv+8kuPOYHkOyGxlwoEo9O4Bc3CmnNK0rwOinv7OshyZWpFTM6l8O7
uk7WwtfSNuVVDFPvPdE0xEBlaky38EN+1vQ4ure82vzdoUuBZLg9y7W9/k/No2dqnO8TbZIzhveJ
ooF3BWsRCMQqPHwMg1SfpkFUz+lL1lZV8DvmDM7r0rIYfqBbEHgyxJLbJbyGWFafGYEdXTOssoaG
JFrPQp2aNOMn3afct6BOVVbraaptwxKubP855OKZrIs4uAEiVD1sEm0PLzmDVu7W7jaZV75ASVQM
F7NNyFzsnZ0lk5JZc9dxnsWfykIUZphulK5r5cHyNvVLXdcFLldYzsgcGHPLh8OHOAK232O8saeK
c4SVAj/6iW7Y9WcyBvHXjRZmOJ8qpEoTUeshaZCpxjhjqOsXx03jqbOGKNryvORmVa8Od8etZz/Y
SQxhqBul5GfX0f5hx0CsP/ByrIW6LWbKwVtNQj9eKrHivlPShMl/QRTMFCe/XTPdfELqZzsjSXFz
qJT0PvM3/phmu33JgDWyyzT0MXNidSf0OaUeSMXQcxndkoGo1tbGb1ZoUzo6hOpNEK/Xd6a/qT8q
SVzq/FQ93oOq9hO4qyhbqtwvk9V6b8x16FtvdkfTWOS+XbxnLluR3kBM6U22TmE8xSZjyTeciIo2
9N3WMBbZNs+u4lBXpsbmgB+b6Wn+MSXRMskooPDVHFbj4gB7zL7eXYWh8UH317sZtq26KaGfGzP3
vnShBdZfoE1m0qutbT7AaPMugvl1ojA8bloFyW6682OBrS53k1xVbzf6ClR8YJrjlXcIoHcM3gFg
+T2E4vc6ZFj6o8/QG8qYNvPV44W+TtPpHn7EibKyvU8lSIgrI8+1O+ew29+mVuyNswo6HablEHOu
tgpUedCIORCSYaJ2DORbp6uJucoObxU38OZxcUgnteL6vymbsGYxB/8Kn9ichLFghsvVLYEhl5Ez
5Roi3g1cO52u9lE03QW2Ps+LQnlrHTN4t5isQYO9VS9W+0L9sKNByR2nNfX1MaPGNg9HkBmYqULb
vq1rzbwJ00NyrRmRSjGd18VWyPXEZFogOoYNhzlphKMhoW7JjKGDukqf88oMvqwIcl9sp6i/GFW+
v127bnUTVx5ZRhIdd7mqbObbMvYnlq9WNzuN9ws2tM14B6A0MAiMnUK7SSPPOVIw2MIzsFaDNZGY
oHquKAPTeBrewMS+mZkwvE5W9c4fe8YummuA0u+iA3XZVGX4CIm89E5QHm+mkX3Y3nobNZ5Ci1rP
FZtmzW0BhB6m6/prVeb77F6tg2QKmL+CeoT5RXmmx1SGQWhFATeHdgTNoqu7zUytYCZnx/mtY5f6
bA++f6qHDFA5lmrx+ejtzQfYWNT7OlIhPot9OBHGKtiXpbYi8PUSeNzr1Sp/Dp1DcGVnkfMpjMr0
LgWx9aSo+BcM5w0fYrqwJj7kE9wXe3VMjmTF6uCjpkUY/OmM0lX8yASy7ZfVyoinMURL00jBL1Ss
TT1PYjhb9+Y2voKca/cpK4uEselW8XJUQpWA2MT25GJI0wb3y04y5mF7Juuqjc29EUIH6RQ5N9fe
cLQJue94usoEPxWcDbMjOdkHkXqcWjtDn20hu5iB1g0ejpCWFuPYPPJvdC8pPgf0kBNqGqwk3nnq
vKpozvUVxmCOSwMgupjaYs0ML7QeNAzD5JgW0XxT6sdrdQXlBZPY/Ft8FWuy8W2PDHWS31Y251Uz
wvorPnD1Kapy7Hqmb29XVNITKlKmPtdgb577qWK9LfNMeaz5gHCqEIGOj76zZdkQMP++J7QMxr4d
lo+qs+H/IAd4zFV9OwUJqH2hC4Gol1SIU22zeQFp955MpGq8tQ7qvNxiFCCtNWjM2JpXGwEfWce6
AI6uwqvM8MNZlu6eGI6lU48EdW3Fe2tGWfN97qdexTi1oJrnm6oO56jfiZ9zhl6Ed3mx3lacZuAV
5SHd1WNKneo0N8ik3Xn+2tpgWeuC1LSrm+H9Ya8f1sefAEsNOWA9w1W9Qkt9GwQskE7vgXSXT9nP
/dI5KOu1oL8IvzKYc3fmW31bVAP++pGMZFFGENczbdnUqQYxoFT0DDYPAKyE6kn3Y8WxRsQDwKDo
GW4ePHpi7jMlvV79a9jZz/1ObwfPFHdKAWkLoiw9D+obAoBeGqD5tNc6uJDwbx0wG9oiJBF1rO/q
wANuptF5QMK71QFRxv9EB4sXQI3TiMR49Fz2dEAvKU7yX9HChYwzLbgj6NPo3aXA2DsB9ojRQsRO
p91zQoa1ewg8ROpAbvfOiOAdrnLbab9jItOeFtyRIIGAc4KkjHiIAQemBVySdlFtt/zPWAPDGhEq
M+CBonLzXGjBtUdko3STyTjf3pRhaUEMXJI9CrwIEMZCV8ih6p0BBzsgwPZGp53B2QGMtLQd4EYA
bQtXgcCmiOfiRvAMrCWQKFrpmx8L1MGwzgCAB7M1Uj//JqAFJlCSeIVipnm4aHtnQRuByaDVvtP3
f/9CvDDky28Ia1C90nbAHIlkme6ebn0ul/Pd0ww/sgXMWiBTxNO6IUNSAp0BGC+pO4EJojAaaGTz
1e9bQ29ECYDQhExm+wztTbBYmKQSDGcEMtkmOQzevvuq+0fBG9m8KlRDuptxaEoAlyQ6SKSOguHS
VuBYOAAkX8WDwHMteDq1JFq6OQvtSRicUQS8LqBZUlrQ3ZElylL0GPe377J9Or1gHO+s5eB8RLqF
XNk7wWCiMHU9aLm6k36hBU8bNZMlaf9rD8Hw/ANCOWlPWR/ZpuiF8bpX4eJmdKmdmqJkSV2veQZ3
FrjXbFmzaGojgiXNoGrZ7vLSIHgjjgrlYIKG5hlevCDQmpIGwWSUblOooW27eS79BF0d0YXFXdzZ
zcH5CbpJakNWCwY5FMCfNFi2WriwC1qjBWiDBMJgWK4yCSTBQSh1K3A3AoTgqDtd+gSBvbuRu9Ml
gUKK5dshGZYWDAMnT1YLoEkIDAXLePvCX2rBG8GAK5SETRBP650OyGXGTxJujdxZEBAYeBy+ecQX
r4KLsyjI4ejmbLU0OD8JhlZd1lEgcIAGU+SLuufiLDjOCKAAyHm4e4d5Fgy74ZCROgumOSJlCq7K
7nb5+izQpYs/CWVg8wzOUSC6c6XfCG9E6OTRbdF+1SIgO7eOpNQIs134ZkRWhWdwTiOToj3Z5LJp
jGjVxm8Ggtc8fNfnWgCLB5yf3Jro6hZPq/YhWUcDZg9J6ygSCsDsBNTw2y57WuCNwXQyfKA7K4M7
C6xb1jgaXBHkjqAH6b7qi6PACwHfqahHdRclL8yw3AWdXkvZJDNHASY4GCwFGY54LrWAliCBBBRx
OguD0wIJH1njaIp6ggdy7nRVXlyUnjkCTkvNu4P6DsgetHQqUhckjjNuINlF+OCb52L3QIhHgIhF
5XFoX77BmMbWdfv5FDtlV6YXCavf3QmcpnNr2CSZmRUBwdHwvERhwmRvA3LowMi9U8pQRATn+xd3
IohcVeTZm2dwpwCSCE/2FOAlulRZPOpt7S4vtOBaI0ow+E/CixLP4M4CwaMYOCVnCkghMJCF9t7O
M7i8DkREQUaNd2KgWoDER8N+yWkBeweBuJgU1O7yIp3kUHBxmdYBH39rMAd3FnANvPY1lbCLaIEh
YZRg202K4tq5XfCAKqgi0e50SbfBOUgsTLr2JgIC6Hhh1Pvu3ejgH4G1Z/zD4BKrEK5JvwiC4IqO
DP2UMrsIGkFlAdFg0AZ05M0zOCXAYSBdf8U/Ik4QuKzvp9RclcqjAZc//GDN8/+4IP+CJ/kN7DcJ
o+SlgflFy+KMWO1Pf+EE8nst4JwQDYr33i8K0rVWdFvTF3/+R6/a38Dvzn54guM1n9P9826Drz+6
91mnXZ3+8jpa5gtgwXXzg7pbpuCj+/vf/i9Z/LFYL85xZ204+O+V/P1vvXWeXQd/IriIL+SKHhpp
uXl0zPrscy02Ql5wvEiLRXFaouC1g7uOt15W8mSRRF8zWN976mjL+NKysyTLFy/ZaZVi1W0UIy85
TZfPZUSDeU94cw3ICp8uk8V+kS/PJbcmVlpyh6R8k319M8mS3fqPvtpbLJnspwClz6OX3vfZ1eJl
JUOGkwf9JVNqEglEWcnXaDyKTnKa4w0lK96WrOCbl0XYO4CaSRH1F8iFMBVOhf4b2UKApJecvkQX
HJZdXlhacrbvH4sWvScr9u1r29RW+aQFI2D3HNenr6s5F6K4e/oLcfX83BVwl9EG9ErNLWZDdtnv
FlHasx6iQ/sXrPndIq+TRfpy2r1QB5UtAQiUX3JRLJ7DXbEsy96Z7qCN0vKjZwYALfo4+jaYlxfN
XVBcUlq1uUJ52UUR8R+DMU46bpTeFi5/hXTo6y9FiySntOj/zIPbwDZ//sW5X/6RLy68pw7fIrvo
+2W16N9bpL0Fx7a84P2b68V6U4RR/1rvKk2/Qv7tMi+WPUultwWcXyH83fIQPfeuMYQLdN2vEP5b
lscnSc3pbrt8pEU3bHOTRZ5xU/aunS5z82s+4D/T2Uke9AcGbPXU0hZhZFf9ECd4JP2opkviSIvO
l8Flq1IDNpIV/H6ZpoK1d3ERJnTQBVnxj2H2snxzU7y629qct6z4f2Y7aA+/dxC7ROqv+YDXB1GI
Jy0lK/4J7S+LYtlzKRg0JhJR8rIP/aiyQybJyv1YLsLT6oRN6co3smJ/QLEj+bZ/iohsLo531+Yl
u+jPC+6dNCj7ryaVVoGGlBa+LMo33118mw+Tlh8Vzxktyj3PrQPrSMuuM9oLg5MSmnPChLI/dWe/
l2n61iH6Ov906g793j/rJ9fEbzwny0X+j38BAAD//w==</cx:binary>
              </cx:geoCache>
            </cx:geography>
          </cx:layoutPr>
        </cx:series>
      </cx:plotAreaRegion>
    </cx:plotArea>
    <cx:legend pos="r" align="min" overlay="0"/>
  </cx:chart>
</cx:chartSpace>
</file>

<file path=xl/charts/colors1.xml><?xml version="1.0" encoding="utf-8"?>
<cs:colorStyle xmlns:cs="http://schemas.microsoft.com/office/drawing/2012/chartStyle" xmlns:a="http://schemas.openxmlformats.org/drawingml/2006/main" meth="withinLinearReversed" id="26">
  <a:schemeClr val="accent6"/>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 id="16">
  <a:schemeClr val="accent3"/>
</cs:colorStyle>
</file>

<file path=xl/charts/colors5.xml><?xml version="1.0" encoding="utf-8"?>
<cs:colorStyle xmlns:cs="http://schemas.microsoft.com/office/drawing/2012/chartStyle" xmlns:a="http://schemas.openxmlformats.org/drawingml/2006/main" meth="withinLinearReversed" id="26">
  <a:schemeClr val="accent6"/>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4.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3.svg"/><Relationship Id="rId5" Type="http://schemas.openxmlformats.org/officeDocument/2006/relationships/image" Target="../media/image2.png"/><Relationship Id="rId4" Type="http://schemas.microsoft.com/office/2014/relationships/chartEx" Target="../charts/chartEx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xdr:col>
      <xdr:colOff>548137</xdr:colOff>
      <xdr:row>77</xdr:row>
      <xdr:rowOff>35943</xdr:rowOff>
    </xdr:from>
    <xdr:to>
      <xdr:col>7</xdr:col>
      <xdr:colOff>17972</xdr:colOff>
      <xdr:row>79</xdr:row>
      <xdr:rowOff>179718</xdr:rowOff>
    </xdr:to>
    <xdr:sp macro="" textlink="">
      <xdr:nvSpPr>
        <xdr:cNvPr id="9" name="Rectangle: Rounded Corners 8">
          <a:extLst>
            <a:ext uri="{FF2B5EF4-FFF2-40B4-BE49-F238E27FC236}">
              <a16:creationId xmlns:a16="http://schemas.microsoft.com/office/drawing/2014/main" id="{D7B17223-56FF-DCC3-9EE4-1C98FDD9E957}"/>
            </a:ext>
          </a:extLst>
        </xdr:cNvPr>
        <xdr:cNvSpPr/>
      </xdr:nvSpPr>
      <xdr:spPr>
        <a:xfrm>
          <a:off x="1159175" y="11546816"/>
          <a:ext cx="7107806" cy="521180"/>
        </a:xfrm>
        <a:prstGeom prst="round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PH" sz="1100"/>
        </a:p>
      </xdr:txBody>
    </xdr:sp>
    <xdr:clientData/>
  </xdr:twoCellAnchor>
  <xdr:twoCellAnchor>
    <xdr:from>
      <xdr:col>3</xdr:col>
      <xdr:colOff>13461</xdr:colOff>
      <xdr:row>7</xdr:row>
      <xdr:rowOff>30287</xdr:rowOff>
    </xdr:from>
    <xdr:to>
      <xdr:col>5</xdr:col>
      <xdr:colOff>1060332</xdr:colOff>
      <xdr:row>24</xdr:row>
      <xdr:rowOff>30725</xdr:rowOff>
    </xdr:to>
    <xdr:graphicFrame macro="">
      <xdr:nvGraphicFramePr>
        <xdr:cNvPr id="2" name="Chart 1">
          <a:extLst>
            <a:ext uri="{FF2B5EF4-FFF2-40B4-BE49-F238E27FC236}">
              <a16:creationId xmlns:a16="http://schemas.microsoft.com/office/drawing/2014/main" id="{813565EA-3410-4B94-B479-EC441DECED2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2</xdr:row>
      <xdr:rowOff>34018</xdr:rowOff>
    </xdr:from>
    <xdr:to>
      <xdr:col>2</xdr:col>
      <xdr:colOff>604157</xdr:colOff>
      <xdr:row>11</xdr:row>
      <xdr:rowOff>149679</xdr:rowOff>
    </xdr:to>
    <mc:AlternateContent xmlns:mc="http://schemas.openxmlformats.org/markup-compatibility/2006" xmlns:a14="http://schemas.microsoft.com/office/drawing/2010/main">
      <mc:Choice Requires="a14">
        <xdr:graphicFrame macro="">
          <xdr:nvGraphicFramePr>
            <xdr:cNvPr id="3" name="Role Type">
              <a:extLst>
                <a:ext uri="{FF2B5EF4-FFF2-40B4-BE49-F238E27FC236}">
                  <a16:creationId xmlns:a16="http://schemas.microsoft.com/office/drawing/2014/main" id="{ABAE696B-49F5-5C20-345B-7B38ECF62A8B}"/>
                </a:ext>
              </a:extLst>
            </xdr:cNvPr>
            <xdr:cNvGraphicFramePr/>
          </xdr:nvGraphicFramePr>
          <xdr:xfrm>
            <a:off x="0" y="0"/>
            <a:ext cx="0" cy="0"/>
          </xdr:xfrm>
          <a:graphic>
            <a:graphicData uri="http://schemas.microsoft.com/office/drawing/2010/slicer">
              <sle:slicer xmlns:sle="http://schemas.microsoft.com/office/drawing/2010/slicer" name="Role Type"/>
            </a:graphicData>
          </a:graphic>
        </xdr:graphicFrame>
      </mc:Choice>
      <mc:Fallback xmlns="">
        <xdr:sp macro="" textlink="">
          <xdr:nvSpPr>
            <xdr:cNvPr id="0" name=""/>
            <xdr:cNvSpPr>
              <a:spLocks noTextEdit="1"/>
            </xdr:cNvSpPr>
          </xdr:nvSpPr>
          <xdr:spPr>
            <a:xfrm>
              <a:off x="0" y="415018"/>
              <a:ext cx="1828800" cy="1830161"/>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16533</xdr:colOff>
      <xdr:row>2</xdr:row>
      <xdr:rowOff>51210</xdr:rowOff>
    </xdr:from>
    <xdr:to>
      <xdr:col>4</xdr:col>
      <xdr:colOff>1087287</xdr:colOff>
      <xdr:row>7</xdr:row>
      <xdr:rowOff>1</xdr:rowOff>
    </xdr:to>
    <xdr:sp macro="" textlink="">
      <xdr:nvSpPr>
        <xdr:cNvPr id="4" name="Rectangle: Diagonal Corners Rounded 3">
          <a:extLst>
            <a:ext uri="{FF2B5EF4-FFF2-40B4-BE49-F238E27FC236}">
              <a16:creationId xmlns:a16="http://schemas.microsoft.com/office/drawing/2014/main" id="{59337264-0E87-A80E-D6A3-E03DD5FB7092}"/>
            </a:ext>
          </a:extLst>
        </xdr:cNvPr>
        <xdr:cNvSpPr/>
      </xdr:nvSpPr>
      <xdr:spPr>
        <a:xfrm>
          <a:off x="1849646" y="428616"/>
          <a:ext cx="2831981" cy="892305"/>
        </a:xfrm>
        <a:prstGeom prst="round2Diag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ctr"/>
          <a:r>
            <a:rPr lang="en-PH" sz="1100" b="1"/>
            <a:t>State with the most Number</a:t>
          </a:r>
          <a:r>
            <a:rPr lang="en-PH" sz="1100" b="1" baseline="0"/>
            <a:t> of Data Science Jobs</a:t>
          </a:r>
          <a:endParaRPr lang="en-PH" sz="1100" b="1"/>
        </a:p>
      </xdr:txBody>
    </xdr:sp>
    <xdr:clientData/>
  </xdr:twoCellAnchor>
  <xdr:twoCellAnchor>
    <xdr:from>
      <xdr:col>4</xdr:col>
      <xdr:colOff>1127693</xdr:colOff>
      <xdr:row>2</xdr:row>
      <xdr:rowOff>33237</xdr:rowOff>
    </xdr:from>
    <xdr:to>
      <xdr:col>6</xdr:col>
      <xdr:colOff>98844</xdr:colOff>
      <xdr:row>6</xdr:row>
      <xdr:rowOff>184337</xdr:rowOff>
    </xdr:to>
    <xdr:sp macro="" textlink="">
      <xdr:nvSpPr>
        <xdr:cNvPr id="5" name="Rectangle: Diagonal Corners Rounded 4">
          <a:extLst>
            <a:ext uri="{FF2B5EF4-FFF2-40B4-BE49-F238E27FC236}">
              <a16:creationId xmlns:a16="http://schemas.microsoft.com/office/drawing/2014/main" id="{6C8A0853-E220-4A6F-848A-B64514E6E7DD}"/>
            </a:ext>
          </a:extLst>
        </xdr:cNvPr>
        <xdr:cNvSpPr/>
      </xdr:nvSpPr>
      <xdr:spPr>
        <a:xfrm>
          <a:off x="4722033" y="410643"/>
          <a:ext cx="3014783" cy="905911"/>
        </a:xfrm>
        <a:prstGeom prst="round2Diag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PH" sz="1100" b="1">
              <a:solidFill>
                <a:schemeClr val="lt1"/>
              </a:solidFill>
              <a:effectLst/>
              <a:latin typeface="+mn-lt"/>
              <a:ea typeface="+mn-ea"/>
              <a:cs typeface="+mn-cs"/>
            </a:rPr>
            <a:t>Job Role With the Highest</a:t>
          </a:r>
          <a:r>
            <a:rPr lang="en-PH" sz="1100" b="1" baseline="0">
              <a:solidFill>
                <a:schemeClr val="lt1"/>
              </a:solidFill>
              <a:effectLst/>
              <a:latin typeface="+mn-lt"/>
              <a:ea typeface="+mn-ea"/>
              <a:cs typeface="+mn-cs"/>
            </a:rPr>
            <a:t> Average Salary</a:t>
          </a:r>
          <a:endParaRPr lang="en-PH">
            <a:effectLst/>
          </a:endParaRPr>
        </a:p>
      </xdr:txBody>
    </xdr:sp>
    <xdr:clientData/>
  </xdr:twoCellAnchor>
  <xdr:twoCellAnchor>
    <xdr:from>
      <xdr:col>6</xdr:col>
      <xdr:colOff>134788</xdr:colOff>
      <xdr:row>2</xdr:row>
      <xdr:rowOff>30727</xdr:rowOff>
    </xdr:from>
    <xdr:to>
      <xdr:col>10</xdr:col>
      <xdr:colOff>573191</xdr:colOff>
      <xdr:row>6</xdr:row>
      <xdr:rowOff>179718</xdr:rowOff>
    </xdr:to>
    <xdr:sp macro="" textlink="">
      <xdr:nvSpPr>
        <xdr:cNvPr id="6" name="Rectangle: Diagonal Corners Rounded 5">
          <a:extLst>
            <a:ext uri="{FF2B5EF4-FFF2-40B4-BE49-F238E27FC236}">
              <a16:creationId xmlns:a16="http://schemas.microsoft.com/office/drawing/2014/main" id="{1A76057D-752D-44E3-9445-593A8614DF30}"/>
            </a:ext>
          </a:extLst>
        </xdr:cNvPr>
        <xdr:cNvSpPr/>
      </xdr:nvSpPr>
      <xdr:spPr>
        <a:xfrm>
          <a:off x="7772760" y="408133"/>
          <a:ext cx="2882554" cy="903802"/>
        </a:xfrm>
        <a:prstGeom prst="round2Diag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PH" sz="1100" b="1">
              <a:solidFill>
                <a:schemeClr val="lt1"/>
              </a:solidFill>
              <a:effectLst/>
              <a:latin typeface="+mn-lt"/>
              <a:ea typeface="+mn-ea"/>
              <a:cs typeface="+mn-cs"/>
            </a:rPr>
            <a:t>Company Size That</a:t>
          </a:r>
          <a:r>
            <a:rPr lang="en-PH" sz="1100" b="1" baseline="0">
              <a:solidFill>
                <a:schemeClr val="lt1"/>
              </a:solidFill>
              <a:effectLst/>
              <a:latin typeface="+mn-lt"/>
              <a:ea typeface="+mn-ea"/>
              <a:cs typeface="+mn-cs"/>
            </a:rPr>
            <a:t> Pays The Highest</a:t>
          </a:r>
          <a:endParaRPr lang="en-PH">
            <a:effectLst/>
          </a:endParaRPr>
        </a:p>
        <a:p>
          <a:pPr algn="l"/>
          <a:endParaRPr lang="en-PH" sz="1100"/>
        </a:p>
      </xdr:txBody>
    </xdr:sp>
    <xdr:clientData/>
  </xdr:twoCellAnchor>
  <xdr:oneCellAnchor>
    <xdr:from>
      <xdr:col>3</xdr:col>
      <xdr:colOff>84568</xdr:colOff>
      <xdr:row>4</xdr:row>
      <xdr:rowOff>112661</xdr:rowOff>
    </xdr:from>
    <xdr:ext cx="1820431" cy="394900"/>
    <xdr:sp macro="" textlink="Analysis!A17">
      <xdr:nvSpPr>
        <xdr:cNvPr id="7" name="TextBox 6">
          <a:extLst>
            <a:ext uri="{FF2B5EF4-FFF2-40B4-BE49-F238E27FC236}">
              <a16:creationId xmlns:a16="http://schemas.microsoft.com/office/drawing/2014/main" id="{68990024-5285-229E-7AA3-D24FDA8ABA49}"/>
            </a:ext>
          </a:extLst>
        </xdr:cNvPr>
        <xdr:cNvSpPr txBox="1"/>
      </xdr:nvSpPr>
      <xdr:spPr>
        <a:xfrm>
          <a:off x="1917681" y="867472"/>
          <a:ext cx="1820431" cy="394900"/>
        </a:xfrm>
        <a:prstGeom prst="rect">
          <a:avLst/>
        </a:prstGeom>
        <a:solidFill>
          <a:schemeClr val="accent6">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22632D80-7C30-4970-AAED-F3103EFBEF65}" type="TxLink">
            <a:rPr lang="en-US" sz="2200" b="1" i="0" u="none" strike="noStrike">
              <a:solidFill>
                <a:srgbClr val="FF0000"/>
              </a:solidFill>
              <a:latin typeface="Aptos Narrow"/>
            </a:rPr>
            <a:pPr algn="ctr"/>
            <a:t>California</a:t>
          </a:fld>
          <a:endParaRPr lang="en-PH" sz="2200" b="1">
            <a:solidFill>
              <a:srgbClr val="FF0000"/>
            </a:solidFill>
          </a:endParaRPr>
        </a:p>
      </xdr:txBody>
    </xdr:sp>
    <xdr:clientData/>
  </xdr:oneCellAnchor>
  <xdr:oneCellAnchor>
    <xdr:from>
      <xdr:col>4</xdr:col>
      <xdr:colOff>169391</xdr:colOff>
      <xdr:row>4</xdr:row>
      <xdr:rowOff>112661</xdr:rowOff>
    </xdr:from>
    <xdr:ext cx="803346" cy="394901"/>
    <xdr:sp macro="" textlink="Analysis!B17">
      <xdr:nvSpPr>
        <xdr:cNvPr id="10" name="TextBox 9">
          <a:extLst>
            <a:ext uri="{FF2B5EF4-FFF2-40B4-BE49-F238E27FC236}">
              <a16:creationId xmlns:a16="http://schemas.microsoft.com/office/drawing/2014/main" id="{D98C8AD5-C2A8-4630-ADFA-E3E7FEBC5756}"/>
            </a:ext>
          </a:extLst>
        </xdr:cNvPr>
        <xdr:cNvSpPr txBox="1"/>
      </xdr:nvSpPr>
      <xdr:spPr>
        <a:xfrm>
          <a:off x="3763731" y="867472"/>
          <a:ext cx="803346" cy="394901"/>
        </a:xfrm>
        <a:prstGeom prst="rect">
          <a:avLst/>
        </a:prstGeom>
        <a:solidFill>
          <a:schemeClr val="accent6">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00509FF4-D46C-469E-9ED4-0F9695563809}" type="TxLink">
            <a:rPr lang="en-US" sz="2000" b="1" i="0" u="none" strike="noStrike">
              <a:solidFill>
                <a:srgbClr val="FF0000"/>
              </a:solidFill>
              <a:latin typeface="Aptos Narrow"/>
            </a:rPr>
            <a:pPr algn="ctr"/>
            <a:t>148</a:t>
          </a:fld>
          <a:endParaRPr lang="en-PH" sz="2000" b="1">
            <a:solidFill>
              <a:srgbClr val="FF0000"/>
            </a:solidFill>
          </a:endParaRPr>
        </a:p>
      </xdr:txBody>
    </xdr:sp>
    <xdr:clientData/>
  </xdr:oneCellAnchor>
  <xdr:oneCellAnchor>
    <xdr:from>
      <xdr:col>4</xdr:col>
      <xdr:colOff>1168516</xdr:colOff>
      <xdr:row>4</xdr:row>
      <xdr:rowOff>84448</xdr:rowOff>
    </xdr:from>
    <xdr:ext cx="1692171" cy="435078"/>
    <xdr:sp macro="" textlink="Analysis!A2">
      <xdr:nvSpPr>
        <xdr:cNvPr id="11" name="TextBox 10">
          <a:extLst>
            <a:ext uri="{FF2B5EF4-FFF2-40B4-BE49-F238E27FC236}">
              <a16:creationId xmlns:a16="http://schemas.microsoft.com/office/drawing/2014/main" id="{9DA0FF6D-3FC8-4D1A-B6C9-9C72F2A5389E}"/>
            </a:ext>
          </a:extLst>
        </xdr:cNvPr>
        <xdr:cNvSpPr txBox="1"/>
      </xdr:nvSpPr>
      <xdr:spPr>
        <a:xfrm>
          <a:off x="4762856" y="839259"/>
          <a:ext cx="1692171" cy="435078"/>
        </a:xfrm>
        <a:prstGeom prst="rect">
          <a:avLst/>
        </a:prstGeom>
        <a:solidFill>
          <a:schemeClr val="accent6">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fld id="{09E09446-B9FC-477E-B5DF-DFA1E6FA3424}" type="TxLink">
            <a:rPr kumimoji="0" lang="en-US" sz="2000" b="1" i="0" u="none" strike="noStrike" kern="0" cap="none" spc="0" normalizeH="0" baseline="0" noProof="0">
              <a:ln>
                <a:noFill/>
              </a:ln>
              <a:solidFill>
                <a:srgbClr val="FF0000"/>
              </a:solidFill>
              <a:effectLst/>
              <a:uLnTx/>
              <a:uFillTx/>
              <a:latin typeface="Aptos Narrow"/>
              <a:ea typeface="+mn-ea"/>
              <a:cs typeface="+mn-cs"/>
            </a:rPr>
            <a:pPr marL="0" marR="0" lvl="0" indent="0" algn="ctr" defTabSz="914400" eaLnBrk="1" fontAlgn="auto" latinLnBrk="0" hangingPunct="1">
              <a:lnSpc>
                <a:spcPct val="100000"/>
              </a:lnSpc>
              <a:spcBef>
                <a:spcPts val="0"/>
              </a:spcBef>
              <a:spcAft>
                <a:spcPts val="0"/>
              </a:spcAft>
              <a:buClrTx/>
              <a:buSzTx/>
              <a:buFontTx/>
              <a:buNone/>
              <a:tabLst/>
              <a:defRPr/>
            </a:pPr>
            <a:t>Data Scientist</a:t>
          </a:fld>
          <a:endParaRPr kumimoji="0" lang="en-PH" sz="4800" b="1" i="0" u="none" strike="noStrike" kern="0" cap="none" spc="0" normalizeH="0" baseline="0" noProof="0">
            <a:ln>
              <a:noFill/>
            </a:ln>
            <a:solidFill>
              <a:srgbClr val="FF0000"/>
            </a:solidFill>
            <a:effectLst/>
            <a:uLnTx/>
            <a:uFillTx/>
            <a:latin typeface="+mn-lt"/>
            <a:ea typeface="+mn-ea"/>
            <a:cs typeface="+mn-cs"/>
          </a:endParaRPr>
        </a:p>
      </xdr:txBody>
    </xdr:sp>
    <xdr:clientData/>
  </xdr:oneCellAnchor>
  <xdr:oneCellAnchor>
    <xdr:from>
      <xdr:col>6</xdr:col>
      <xdr:colOff>260407</xdr:colOff>
      <xdr:row>4</xdr:row>
      <xdr:rowOff>79230</xdr:rowOff>
    </xdr:from>
    <xdr:ext cx="1242255" cy="393466"/>
    <xdr:sp macro="" textlink="Analysis!A9">
      <xdr:nvSpPr>
        <xdr:cNvPr id="12" name="TextBox 11">
          <a:extLst>
            <a:ext uri="{FF2B5EF4-FFF2-40B4-BE49-F238E27FC236}">
              <a16:creationId xmlns:a16="http://schemas.microsoft.com/office/drawing/2014/main" id="{29684DE3-EF05-4795-9922-D68109BE5341}"/>
            </a:ext>
          </a:extLst>
        </xdr:cNvPr>
        <xdr:cNvSpPr txBox="1"/>
      </xdr:nvSpPr>
      <xdr:spPr>
        <a:xfrm>
          <a:off x="7898379" y="834041"/>
          <a:ext cx="1242255" cy="393466"/>
        </a:xfrm>
        <a:prstGeom prst="rect">
          <a:avLst/>
        </a:prstGeom>
        <a:solidFill>
          <a:schemeClr val="accent6">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19B84E6C-D881-42A2-BFC6-B1298A56E693}" type="TxLink">
            <a:rPr lang="en-US" sz="1800" b="1" i="0" u="none" strike="noStrike">
              <a:solidFill>
                <a:srgbClr val="FF0000"/>
              </a:solidFill>
              <a:latin typeface="Aptos Narrow"/>
            </a:rPr>
            <a:pPr algn="ctr"/>
            <a:t>51-200</a:t>
          </a:fld>
          <a:endParaRPr lang="en-PH" sz="3200" b="1">
            <a:solidFill>
              <a:srgbClr val="FF0000"/>
            </a:solidFill>
          </a:endParaRPr>
        </a:p>
      </xdr:txBody>
    </xdr:sp>
    <xdr:clientData/>
  </xdr:oneCellAnchor>
  <xdr:oneCellAnchor>
    <xdr:from>
      <xdr:col>5</xdr:col>
      <xdr:colOff>1154441</xdr:colOff>
      <xdr:row>4</xdr:row>
      <xdr:rowOff>84447</xdr:rowOff>
    </xdr:from>
    <xdr:ext cx="1106129" cy="435078"/>
    <xdr:sp macro="" textlink="Analysis!C2">
      <xdr:nvSpPr>
        <xdr:cNvPr id="13" name="TextBox 12">
          <a:extLst>
            <a:ext uri="{FF2B5EF4-FFF2-40B4-BE49-F238E27FC236}">
              <a16:creationId xmlns:a16="http://schemas.microsoft.com/office/drawing/2014/main" id="{F7593A83-DEED-4823-9B07-B8B9E172E7AB}"/>
            </a:ext>
          </a:extLst>
        </xdr:cNvPr>
        <xdr:cNvSpPr txBox="1"/>
      </xdr:nvSpPr>
      <xdr:spPr>
        <a:xfrm>
          <a:off x="6483049" y="839258"/>
          <a:ext cx="1106129" cy="435078"/>
        </a:xfrm>
        <a:prstGeom prst="rect">
          <a:avLst/>
        </a:prstGeom>
        <a:solidFill>
          <a:schemeClr val="accent6">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B638C6B8-2914-4D90-ADED-816DF2B11075}" type="TxLink">
            <a:rPr lang="en-US" sz="1500" b="1" i="0" u="none" strike="noStrike">
              <a:solidFill>
                <a:srgbClr val="FF0000"/>
              </a:solidFill>
              <a:latin typeface="Aptos Narrow"/>
            </a:rPr>
            <a:pPr algn="ctr"/>
            <a:t>150,967.59</a:t>
          </a:fld>
          <a:endParaRPr lang="en-PH" sz="1500" b="1">
            <a:solidFill>
              <a:srgbClr val="FF0000"/>
            </a:solidFill>
          </a:endParaRPr>
        </a:p>
      </xdr:txBody>
    </xdr:sp>
    <xdr:clientData/>
  </xdr:oneCellAnchor>
  <xdr:oneCellAnchor>
    <xdr:from>
      <xdr:col>8</xdr:col>
      <xdr:colOff>304358</xdr:colOff>
      <xdr:row>4</xdr:row>
      <xdr:rowOff>79229</xdr:rowOff>
    </xdr:from>
    <xdr:ext cx="1321971" cy="393467"/>
    <xdr:sp macro="" textlink="Analysis!B9">
      <xdr:nvSpPr>
        <xdr:cNvPr id="14" name="TextBox 13">
          <a:extLst>
            <a:ext uri="{FF2B5EF4-FFF2-40B4-BE49-F238E27FC236}">
              <a16:creationId xmlns:a16="http://schemas.microsoft.com/office/drawing/2014/main" id="{58B21571-2BCA-47AF-BE26-D54F1FC4713C}"/>
            </a:ext>
          </a:extLst>
        </xdr:cNvPr>
        <xdr:cNvSpPr txBox="1"/>
      </xdr:nvSpPr>
      <xdr:spPr>
        <a:xfrm>
          <a:off x="9164405" y="834040"/>
          <a:ext cx="1321971" cy="393467"/>
        </a:xfrm>
        <a:prstGeom prst="rect">
          <a:avLst/>
        </a:prstGeom>
        <a:solidFill>
          <a:schemeClr val="accent6">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8D41601F-C272-4E74-923A-4C270401CFE9}" type="TxLink">
            <a:rPr lang="en-US" sz="1600" b="1" i="0" u="none" strike="noStrike">
              <a:solidFill>
                <a:srgbClr val="FF0000"/>
              </a:solidFill>
              <a:latin typeface="Aptos Narrow"/>
            </a:rPr>
            <a:pPr algn="ctr"/>
            <a:t>151,414.81</a:t>
          </a:fld>
          <a:endParaRPr lang="en-PH" sz="2800" b="1">
            <a:solidFill>
              <a:srgbClr val="FF0000"/>
            </a:solidFill>
          </a:endParaRPr>
        </a:p>
      </xdr:txBody>
    </xdr:sp>
    <xdr:clientData/>
  </xdr:oneCellAnchor>
  <xdr:twoCellAnchor>
    <xdr:from>
      <xdr:col>5</xdr:col>
      <xdr:colOff>1112797</xdr:colOff>
      <xdr:row>7</xdr:row>
      <xdr:rowOff>6280</xdr:rowOff>
    </xdr:from>
    <xdr:to>
      <xdr:col>10</xdr:col>
      <xdr:colOff>571096</xdr:colOff>
      <xdr:row>23</xdr:row>
      <xdr:rowOff>174499</xdr:rowOff>
    </xdr:to>
    <xdr:graphicFrame macro="">
      <xdr:nvGraphicFramePr>
        <xdr:cNvPr id="17" name="Chart 16">
          <a:extLst>
            <a:ext uri="{FF2B5EF4-FFF2-40B4-BE49-F238E27FC236}">
              <a16:creationId xmlns:a16="http://schemas.microsoft.com/office/drawing/2014/main" id="{AB8F9AAE-B68B-4AA4-B61A-A4A36F94EE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0</xdr:colOff>
      <xdr:row>11</xdr:row>
      <xdr:rowOff>194595</xdr:rowOff>
    </xdr:from>
    <xdr:to>
      <xdr:col>2</xdr:col>
      <xdr:colOff>599768</xdr:colOff>
      <xdr:row>24</xdr:row>
      <xdr:rowOff>40966</xdr:rowOff>
    </xdr:to>
    <mc:AlternateContent xmlns:mc="http://schemas.openxmlformats.org/markup-compatibility/2006" xmlns:a14="http://schemas.microsoft.com/office/drawing/2010/main">
      <mc:Choice Requires="a14">
        <xdr:graphicFrame macro="">
          <xdr:nvGraphicFramePr>
            <xdr:cNvPr id="18" name="Size 1">
              <a:extLst>
                <a:ext uri="{FF2B5EF4-FFF2-40B4-BE49-F238E27FC236}">
                  <a16:creationId xmlns:a16="http://schemas.microsoft.com/office/drawing/2014/main" id="{2D78CC50-3A4C-4216-9BD2-C61DBE9E189A}"/>
                </a:ext>
              </a:extLst>
            </xdr:cNvPr>
            <xdr:cNvGraphicFramePr/>
          </xdr:nvGraphicFramePr>
          <xdr:xfrm>
            <a:off x="0" y="0"/>
            <a:ext cx="0" cy="0"/>
          </xdr:xfrm>
          <a:graphic>
            <a:graphicData uri="http://schemas.microsoft.com/office/drawing/2010/slicer">
              <sle:slicer xmlns:sle="http://schemas.microsoft.com/office/drawing/2010/slicer" name="Size 1"/>
            </a:graphicData>
          </a:graphic>
        </xdr:graphicFrame>
      </mc:Choice>
      <mc:Fallback xmlns="">
        <xdr:sp macro="" textlink="">
          <xdr:nvSpPr>
            <xdr:cNvPr id="0" name=""/>
            <xdr:cNvSpPr>
              <a:spLocks noTextEdit="1"/>
            </xdr:cNvSpPr>
          </xdr:nvSpPr>
          <xdr:spPr>
            <a:xfrm>
              <a:off x="0" y="2335160"/>
              <a:ext cx="1828800" cy="2376129"/>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24</xdr:row>
      <xdr:rowOff>10242</xdr:rowOff>
    </xdr:from>
    <xdr:to>
      <xdr:col>2</xdr:col>
      <xdr:colOff>599768</xdr:colOff>
      <xdr:row>33</xdr:row>
      <xdr:rowOff>20483</xdr:rowOff>
    </xdr:to>
    <mc:AlternateContent xmlns:mc="http://schemas.openxmlformats.org/markup-compatibility/2006" xmlns:a14="http://schemas.microsoft.com/office/drawing/2010/main">
      <mc:Choice Requires="a14">
        <xdr:graphicFrame macro="">
          <xdr:nvGraphicFramePr>
            <xdr:cNvPr id="19" name="Full State Name">
              <a:extLst>
                <a:ext uri="{FF2B5EF4-FFF2-40B4-BE49-F238E27FC236}">
                  <a16:creationId xmlns:a16="http://schemas.microsoft.com/office/drawing/2014/main" id="{7FB10092-85A4-47F7-B006-856C77858995}"/>
                </a:ext>
              </a:extLst>
            </xdr:cNvPr>
            <xdr:cNvGraphicFramePr/>
          </xdr:nvGraphicFramePr>
          <xdr:xfrm>
            <a:off x="0" y="0"/>
            <a:ext cx="0" cy="0"/>
          </xdr:xfrm>
          <a:graphic>
            <a:graphicData uri="http://schemas.microsoft.com/office/drawing/2010/slicer">
              <sle:slicer xmlns:sle="http://schemas.microsoft.com/office/drawing/2010/slicer" name="Full State Name"/>
            </a:graphicData>
          </a:graphic>
        </xdr:graphicFrame>
      </mc:Choice>
      <mc:Fallback xmlns="">
        <xdr:sp macro="" textlink="">
          <xdr:nvSpPr>
            <xdr:cNvPr id="0" name=""/>
            <xdr:cNvSpPr>
              <a:spLocks noTextEdit="1"/>
            </xdr:cNvSpPr>
          </xdr:nvSpPr>
          <xdr:spPr>
            <a:xfrm>
              <a:off x="0" y="4680565"/>
              <a:ext cx="1828800" cy="1761612"/>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604274</xdr:colOff>
      <xdr:row>23</xdr:row>
      <xdr:rowOff>102419</xdr:rowOff>
    </xdr:from>
    <xdr:to>
      <xdr:col>10</xdr:col>
      <xdr:colOff>575094</xdr:colOff>
      <xdr:row>33</xdr:row>
      <xdr:rowOff>0</xdr:rowOff>
    </xdr:to>
    <xdr:graphicFrame macro="">
      <xdr:nvGraphicFramePr>
        <xdr:cNvPr id="20" name="Chart 19">
          <a:extLst>
            <a:ext uri="{FF2B5EF4-FFF2-40B4-BE49-F238E27FC236}">
              <a16:creationId xmlns:a16="http://schemas.microsoft.com/office/drawing/2014/main" id="{5579A301-8F23-4974-A64F-EA4E7FBFB4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53916</xdr:colOff>
      <xdr:row>49</xdr:row>
      <xdr:rowOff>62899</xdr:rowOff>
    </xdr:from>
    <xdr:to>
      <xdr:col>10</xdr:col>
      <xdr:colOff>593067</xdr:colOff>
      <xdr:row>76</xdr:row>
      <xdr:rowOff>80871</xdr:rowOff>
    </xdr:to>
    <mc:AlternateContent xmlns:mc="http://schemas.openxmlformats.org/markup-compatibility/2006">
      <mc:Choice xmlns:cx4="http://schemas.microsoft.com/office/drawing/2016/5/10/chartex" Requires="cx4">
        <xdr:graphicFrame macro="">
          <xdr:nvGraphicFramePr>
            <xdr:cNvPr id="8" name="Chart 7">
              <a:extLst>
                <a:ext uri="{FF2B5EF4-FFF2-40B4-BE49-F238E27FC236}">
                  <a16:creationId xmlns:a16="http://schemas.microsoft.com/office/drawing/2014/main" id="{4063FF75-F4AF-4508-8E11-30C9464FFA8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53916" y="9397399"/>
              <a:ext cx="10607076" cy="5161472"/>
            </a:xfrm>
            <a:prstGeom prst="rect">
              <a:avLst/>
            </a:prstGeom>
            <a:solidFill>
              <a:prstClr val="white"/>
            </a:solidFill>
            <a:ln w="1">
              <a:solidFill>
                <a:prstClr val="green"/>
              </a:solidFill>
            </a:ln>
          </xdr:spPr>
          <xdr:txBody>
            <a:bodyPr vertOverflow="clip" horzOverflow="clip"/>
            <a:lstStyle/>
            <a:p>
              <a:r>
                <a:rPr lang="en-PH" sz="1100"/>
                <a:t>This chart isn't available in your version of Excel.
Editing this shape or saving this workbook into a different file format will permanently break the chart.</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2</xdr:col>
          <xdr:colOff>133350</xdr:colOff>
          <xdr:row>78</xdr:row>
          <xdr:rowOff>9525</xdr:rowOff>
        </xdr:from>
        <xdr:to>
          <xdr:col>5</xdr:col>
          <xdr:colOff>2238375</xdr:colOff>
          <xdr:row>79</xdr:row>
          <xdr:rowOff>47625</xdr:rowOff>
        </xdr:to>
        <xdr:sp macro="" textlink="">
          <xdr:nvSpPr>
            <xdr:cNvPr id="2050" name="TextBox1" hidden="1">
              <a:extLst>
                <a:ext uri="{63B3BB69-23CF-44E3-9099-C40C66FF867C}">
                  <a14:compatExt spid="_x0000_s2050"/>
                </a:ext>
                <a:ext uri="{FF2B5EF4-FFF2-40B4-BE49-F238E27FC236}">
                  <a16:creationId xmlns:a16="http://schemas.microsoft.com/office/drawing/2014/main" id="{00000000-0008-0000-08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6</xdr:col>
      <xdr:colOff>53914</xdr:colOff>
      <xdr:row>77</xdr:row>
      <xdr:rowOff>107830</xdr:rowOff>
    </xdr:from>
    <xdr:to>
      <xdr:col>6</xdr:col>
      <xdr:colOff>413349</xdr:colOff>
      <xdr:row>79</xdr:row>
      <xdr:rowOff>89859</xdr:rowOff>
    </xdr:to>
    <xdr:pic>
      <xdr:nvPicPr>
        <xdr:cNvPr id="25" name="Graphic 24" descr="Magnifying glass with solid fill">
          <a:extLst>
            <a:ext uri="{FF2B5EF4-FFF2-40B4-BE49-F238E27FC236}">
              <a16:creationId xmlns:a16="http://schemas.microsoft.com/office/drawing/2014/main" id="{89BD8D22-748B-2056-F46A-3A2B2FDD7448}"/>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7691886" y="11618703"/>
          <a:ext cx="359435" cy="359435"/>
        </a:xfrm>
        <a:prstGeom prst="rect">
          <a:avLst/>
        </a:prstGeom>
      </xdr:spPr>
    </xdr:pic>
    <xdr:clientData/>
  </xdr:twoCellAnchor>
  <xdr:twoCellAnchor editAs="oneCell">
    <xdr:from>
      <xdr:col>0</xdr:col>
      <xdr:colOff>0</xdr:colOff>
      <xdr:row>33</xdr:row>
      <xdr:rowOff>0</xdr:rowOff>
    </xdr:from>
    <xdr:to>
      <xdr:col>2</xdr:col>
      <xdr:colOff>606725</xdr:colOff>
      <xdr:row>48</xdr:row>
      <xdr:rowOff>170731</xdr:rowOff>
    </xdr:to>
    <mc:AlternateContent xmlns:mc="http://schemas.openxmlformats.org/markup-compatibility/2006" xmlns:a14="http://schemas.microsoft.com/office/drawing/2010/main">
      <mc:Choice Requires="a14">
        <xdr:graphicFrame macro="">
          <xdr:nvGraphicFramePr>
            <xdr:cNvPr id="15" name="Sector">
              <a:extLst>
                <a:ext uri="{FF2B5EF4-FFF2-40B4-BE49-F238E27FC236}">
                  <a16:creationId xmlns:a16="http://schemas.microsoft.com/office/drawing/2014/main" id="{4767B217-428C-4C5D-895D-1F3947035F20}"/>
                </a:ext>
              </a:extLst>
            </xdr:cNvPr>
            <xdr:cNvGraphicFramePr/>
          </xdr:nvGraphicFramePr>
          <xdr:xfrm>
            <a:off x="0" y="0"/>
            <a:ext cx="0" cy="0"/>
          </xdr:xfrm>
          <a:graphic>
            <a:graphicData uri="http://schemas.microsoft.com/office/drawing/2010/slicer">
              <sle:slicer xmlns:sle="http://schemas.microsoft.com/office/drawing/2010/slicer" name="Sector"/>
            </a:graphicData>
          </a:graphic>
        </xdr:graphicFrame>
      </mc:Choice>
      <mc:Fallback xmlns="">
        <xdr:sp macro="" textlink="">
          <xdr:nvSpPr>
            <xdr:cNvPr id="0" name=""/>
            <xdr:cNvSpPr>
              <a:spLocks noTextEdit="1"/>
            </xdr:cNvSpPr>
          </xdr:nvSpPr>
          <xdr:spPr>
            <a:xfrm>
              <a:off x="0" y="6471397"/>
              <a:ext cx="1839372" cy="3112275"/>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0</xdr:colOff>
      <xdr:row>33</xdr:row>
      <xdr:rowOff>0</xdr:rowOff>
    </xdr:from>
    <xdr:to>
      <xdr:col>5</xdr:col>
      <xdr:colOff>1619430</xdr:colOff>
      <xdr:row>48</xdr:row>
      <xdr:rowOff>161745</xdr:rowOff>
    </xdr:to>
    <xdr:graphicFrame macro="">
      <xdr:nvGraphicFramePr>
        <xdr:cNvPr id="21" name="Chart 20">
          <a:extLst>
            <a:ext uri="{FF2B5EF4-FFF2-40B4-BE49-F238E27FC236}">
              <a16:creationId xmlns:a16="http://schemas.microsoft.com/office/drawing/2014/main" id="{9D417B0B-4386-4AB5-B0D6-C8624A374A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xdr:col>
      <xdr:colOff>1644411</xdr:colOff>
      <xdr:row>33</xdr:row>
      <xdr:rowOff>35945</xdr:rowOff>
    </xdr:from>
    <xdr:to>
      <xdr:col>10</xdr:col>
      <xdr:colOff>575094</xdr:colOff>
      <xdr:row>40</xdr:row>
      <xdr:rowOff>170731</xdr:rowOff>
    </xdr:to>
    <xdr:sp macro="" textlink="">
      <xdr:nvSpPr>
        <xdr:cNvPr id="23" name="Rectangle: Diagonal Corners Rounded 22">
          <a:extLst>
            <a:ext uri="{FF2B5EF4-FFF2-40B4-BE49-F238E27FC236}">
              <a16:creationId xmlns:a16="http://schemas.microsoft.com/office/drawing/2014/main" id="{12153807-8C7A-483A-B3B0-BD4C6FE20709}"/>
            </a:ext>
          </a:extLst>
        </xdr:cNvPr>
        <xdr:cNvSpPr/>
      </xdr:nvSpPr>
      <xdr:spPr>
        <a:xfrm>
          <a:off x="6973019" y="6263138"/>
          <a:ext cx="3684198" cy="1455706"/>
        </a:xfrm>
        <a:prstGeom prst="round2Diag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ctr"/>
          <a:r>
            <a:rPr lang="en-PH" sz="1400" b="1"/>
            <a:t>Sector That</a:t>
          </a:r>
          <a:r>
            <a:rPr lang="en-PH" sz="1400" b="1" baseline="0"/>
            <a:t> Has the Highest Data Science Related Jobs</a:t>
          </a:r>
          <a:endParaRPr lang="en-PH" sz="1400" b="1"/>
        </a:p>
      </xdr:txBody>
    </xdr:sp>
    <xdr:clientData/>
  </xdr:twoCellAnchor>
  <xdr:oneCellAnchor>
    <xdr:from>
      <xdr:col>5</xdr:col>
      <xdr:colOff>1770213</xdr:colOff>
      <xdr:row>36</xdr:row>
      <xdr:rowOff>53915</xdr:rowOff>
    </xdr:from>
    <xdr:ext cx="2596909" cy="704889"/>
    <xdr:sp macro="" textlink="Analysis!E29">
      <xdr:nvSpPr>
        <xdr:cNvPr id="24" name="TextBox 23">
          <a:extLst>
            <a:ext uri="{FF2B5EF4-FFF2-40B4-BE49-F238E27FC236}">
              <a16:creationId xmlns:a16="http://schemas.microsoft.com/office/drawing/2014/main" id="{0593CCB0-9D43-43C7-BDB8-10088687D0D6}"/>
            </a:ext>
          </a:extLst>
        </xdr:cNvPr>
        <xdr:cNvSpPr txBox="1"/>
      </xdr:nvSpPr>
      <xdr:spPr>
        <a:xfrm>
          <a:off x="7098821" y="6847217"/>
          <a:ext cx="2596909" cy="704889"/>
        </a:xfrm>
        <a:prstGeom prst="rect">
          <a:avLst/>
        </a:prstGeom>
        <a:solidFill>
          <a:schemeClr val="accent6">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D528CE8A-140D-4A7E-96F6-BCADD228BC2F}" type="TxLink">
            <a:rPr lang="en-US" sz="1800" b="1" i="0" u="none" strike="noStrike">
              <a:solidFill>
                <a:srgbClr val="FF0000"/>
              </a:solidFill>
              <a:latin typeface="Aptos Narrow"/>
            </a:rPr>
            <a:pPr algn="ctr"/>
            <a:t>Information Technology</a:t>
          </a:fld>
          <a:endParaRPr lang="en-PH" sz="3600" b="1">
            <a:solidFill>
              <a:srgbClr val="FF0000"/>
            </a:solidFill>
          </a:endParaRPr>
        </a:p>
      </xdr:txBody>
    </xdr:sp>
    <xdr:clientData/>
  </xdr:oneCellAnchor>
  <xdr:oneCellAnchor>
    <xdr:from>
      <xdr:col>9</xdr:col>
      <xdr:colOff>251603</xdr:colOff>
      <xdr:row>36</xdr:row>
      <xdr:rowOff>53916</xdr:rowOff>
    </xdr:from>
    <xdr:ext cx="801645" cy="713876"/>
    <xdr:sp macro="" textlink="Analysis!F29">
      <xdr:nvSpPr>
        <xdr:cNvPr id="26" name="TextBox 25">
          <a:extLst>
            <a:ext uri="{FF2B5EF4-FFF2-40B4-BE49-F238E27FC236}">
              <a16:creationId xmlns:a16="http://schemas.microsoft.com/office/drawing/2014/main" id="{31DEA455-39F9-4648-B9C7-BBA2BF1E9364}"/>
            </a:ext>
          </a:extLst>
        </xdr:cNvPr>
        <xdr:cNvSpPr txBox="1"/>
      </xdr:nvSpPr>
      <xdr:spPr>
        <a:xfrm>
          <a:off x="9722688" y="6847218"/>
          <a:ext cx="801645" cy="713876"/>
        </a:xfrm>
        <a:prstGeom prst="rect">
          <a:avLst/>
        </a:prstGeom>
        <a:solidFill>
          <a:schemeClr val="accent6">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7F7F8D1F-6AB4-4E89-812C-550A7C50BBFB}" type="TxLink">
            <a:rPr lang="en-US" sz="2400" b="1" i="0" u="none" strike="noStrike">
              <a:solidFill>
                <a:srgbClr val="FF0000"/>
              </a:solidFill>
              <a:latin typeface="Aptos Narrow"/>
            </a:rPr>
            <a:pPr algn="ctr"/>
            <a:t>16</a:t>
          </a:fld>
          <a:endParaRPr lang="en-PH" sz="4400" b="1">
            <a:solidFill>
              <a:srgbClr val="FF0000"/>
            </a:solidFill>
          </a:endParaRPr>
        </a:p>
      </xdr:txBody>
    </xdr:sp>
    <xdr:clientData/>
  </xdr:oneCellAnchor>
  <xdr:twoCellAnchor>
    <xdr:from>
      <xdr:col>5</xdr:col>
      <xdr:colOff>1653397</xdr:colOff>
      <xdr:row>41</xdr:row>
      <xdr:rowOff>1</xdr:rowOff>
    </xdr:from>
    <xdr:to>
      <xdr:col>10</xdr:col>
      <xdr:colOff>566107</xdr:colOff>
      <xdr:row>48</xdr:row>
      <xdr:rowOff>152759</xdr:rowOff>
    </xdr:to>
    <xdr:sp macro="" textlink="">
      <xdr:nvSpPr>
        <xdr:cNvPr id="27" name="Rectangle: Diagonal Corners Rounded 26">
          <a:extLst>
            <a:ext uri="{FF2B5EF4-FFF2-40B4-BE49-F238E27FC236}">
              <a16:creationId xmlns:a16="http://schemas.microsoft.com/office/drawing/2014/main" id="{33F439AA-80AD-4714-8AE3-76FD0244AB20}"/>
            </a:ext>
          </a:extLst>
        </xdr:cNvPr>
        <xdr:cNvSpPr/>
      </xdr:nvSpPr>
      <xdr:spPr>
        <a:xfrm>
          <a:off x="6982005" y="7736817"/>
          <a:ext cx="3666225" cy="1473678"/>
        </a:xfrm>
        <a:prstGeom prst="round2Diag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ctr"/>
          <a:r>
            <a:rPr lang="en-PH" sz="1400" b="1">
              <a:solidFill>
                <a:schemeClr val="lt1"/>
              </a:solidFill>
              <a:effectLst/>
              <a:latin typeface="+mn-lt"/>
              <a:ea typeface="+mn-ea"/>
              <a:cs typeface="+mn-cs"/>
            </a:rPr>
            <a:t>Sector That</a:t>
          </a:r>
          <a:r>
            <a:rPr lang="en-PH" sz="1400" b="1" baseline="0">
              <a:solidFill>
                <a:schemeClr val="lt1"/>
              </a:solidFill>
              <a:effectLst/>
              <a:latin typeface="+mn-lt"/>
              <a:ea typeface="+mn-ea"/>
              <a:cs typeface="+mn-cs"/>
            </a:rPr>
            <a:t> Has the Lowest Data Science Related Jobs</a:t>
          </a:r>
          <a:endParaRPr lang="en-PH" sz="1400">
            <a:effectLst/>
          </a:endParaRPr>
        </a:p>
      </xdr:txBody>
    </xdr:sp>
    <xdr:clientData/>
  </xdr:twoCellAnchor>
  <xdr:oneCellAnchor>
    <xdr:from>
      <xdr:col>5</xdr:col>
      <xdr:colOff>1779199</xdr:colOff>
      <xdr:row>44</xdr:row>
      <xdr:rowOff>44929</xdr:rowOff>
    </xdr:from>
    <xdr:ext cx="2578938" cy="736839"/>
    <xdr:sp macro="" textlink="Analysis!E51">
      <xdr:nvSpPr>
        <xdr:cNvPr id="28" name="TextBox 27">
          <a:extLst>
            <a:ext uri="{FF2B5EF4-FFF2-40B4-BE49-F238E27FC236}">
              <a16:creationId xmlns:a16="http://schemas.microsoft.com/office/drawing/2014/main" id="{1A357E39-C2F7-4933-9E34-2175EF6E2D35}"/>
            </a:ext>
          </a:extLst>
        </xdr:cNvPr>
        <xdr:cNvSpPr txBox="1"/>
      </xdr:nvSpPr>
      <xdr:spPr>
        <a:xfrm>
          <a:off x="7107807" y="8347854"/>
          <a:ext cx="2578938" cy="736839"/>
        </a:xfrm>
        <a:prstGeom prst="rect">
          <a:avLst/>
        </a:prstGeom>
        <a:solidFill>
          <a:schemeClr val="accent6">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D0CB15CF-2298-41D3-A6C8-2B302DA02AEA}" type="TxLink">
            <a:rPr lang="en-US" sz="1800" b="1" i="0" u="none" strike="noStrike">
              <a:solidFill>
                <a:srgbClr val="FF0000"/>
              </a:solidFill>
              <a:latin typeface="Aptos Narrow"/>
              <a:ea typeface="+mn-ea"/>
              <a:cs typeface="+mn-cs"/>
            </a:rPr>
            <a:pPr marL="0" indent="0" algn="ctr"/>
            <a:t>Accounting &amp; Legal</a:t>
          </a:fld>
          <a:endParaRPr lang="en-PH" sz="1800" b="1" i="0" u="none" strike="noStrike">
            <a:solidFill>
              <a:srgbClr val="FF0000"/>
            </a:solidFill>
            <a:latin typeface="Aptos Narrow"/>
            <a:ea typeface="+mn-ea"/>
            <a:cs typeface="+mn-cs"/>
          </a:endParaRPr>
        </a:p>
      </xdr:txBody>
    </xdr:sp>
    <xdr:clientData/>
  </xdr:oneCellAnchor>
  <xdr:oneCellAnchor>
    <xdr:from>
      <xdr:col>9</xdr:col>
      <xdr:colOff>242618</xdr:colOff>
      <xdr:row>44</xdr:row>
      <xdr:rowOff>53915</xdr:rowOff>
    </xdr:from>
    <xdr:ext cx="790755" cy="718867"/>
    <xdr:sp macro="" textlink="Analysis!F51">
      <xdr:nvSpPr>
        <xdr:cNvPr id="29" name="TextBox 28">
          <a:extLst>
            <a:ext uri="{FF2B5EF4-FFF2-40B4-BE49-F238E27FC236}">
              <a16:creationId xmlns:a16="http://schemas.microsoft.com/office/drawing/2014/main" id="{EF641BB6-536D-425E-B1AB-01C71F38EABD}"/>
            </a:ext>
          </a:extLst>
        </xdr:cNvPr>
        <xdr:cNvSpPr txBox="1"/>
      </xdr:nvSpPr>
      <xdr:spPr>
        <a:xfrm>
          <a:off x="9713703" y="8356840"/>
          <a:ext cx="790755" cy="718867"/>
        </a:xfrm>
        <a:prstGeom prst="rect">
          <a:avLst/>
        </a:prstGeom>
        <a:solidFill>
          <a:schemeClr val="accent6">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B866E77C-5EE2-4D23-923F-2D4F3F8861D9}" type="TxLink">
            <a:rPr lang="en-US" sz="2400" b="1" i="0" u="none" strike="noStrike">
              <a:solidFill>
                <a:srgbClr val="FF0000"/>
              </a:solidFill>
              <a:latin typeface="Aptos Narrow"/>
              <a:ea typeface="+mn-ea"/>
              <a:cs typeface="+mn-cs"/>
            </a:rPr>
            <a:pPr marL="0" indent="0" algn="ctr"/>
            <a:t>1</a:t>
          </a:fld>
          <a:endParaRPr lang="en-PH" sz="2400" b="1" i="0" u="none" strike="noStrike">
            <a:solidFill>
              <a:srgbClr val="FF0000"/>
            </a:solidFill>
            <a:latin typeface="Aptos Narrow"/>
            <a:ea typeface="+mn-ea"/>
            <a:cs typeface="+mn-cs"/>
          </a:endParaRPr>
        </a:p>
      </xdr:txBody>
    </xdr:sp>
    <xdr:clientData/>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na Mae Carbonel" refreshedDate="45730.786478240741" createdVersion="8" refreshedVersion="8" minRefreshableVersion="3" recordCount="7" xr:uid="{637CF609-AD3A-4C71-9F5B-F6631BA21B7C}">
  <cacheSource type="worksheet">
    <worksheetSource ref="A1:F8" sheet="Sal by Role Size"/>
  </cacheSource>
  <cacheFields count="6">
    <cacheField name="Combine" numFmtId="0">
      <sharedItems count="8">
        <s v="1001-5000"/>
        <s v="51-200"/>
        <s v="5001-10000"/>
        <s v="501-1000"/>
        <s v="1-50"/>
        <s v="10000+"/>
        <s v="201-500"/>
        <s v="Unknown" u="1"/>
      </sharedItems>
    </cacheField>
    <cacheField name="Min Size Company" numFmtId="0">
      <sharedItems/>
    </cacheField>
    <cacheField name="Max Size Company" numFmtId="0">
      <sharedItems containsString="0" containsBlank="1" containsNumber="1" containsInteger="1" minValue="50" maxValue="10000"/>
    </cacheField>
    <cacheField name="Count" numFmtId="0">
      <sharedItems containsSemiMixedTypes="0" containsString="0" containsNumber="1" containsInteger="1" minValue="61" maxValue="135"/>
    </cacheField>
    <cacheField name="Min Sal Avg" numFmtId="0">
      <sharedItems containsSemiMixedTypes="0" containsString="0" containsNumber="1" minValue="94858.823529411762" maxValue="103721.31147540984"/>
    </cacheField>
    <cacheField name="Max Sal Avg" numFmtId="0">
      <sharedItems containsSemiMixedTypes="0" containsString="0" containsNumber="1" minValue="143082.35294117648" maxValue="151414.8148148148"/>
    </cacheField>
  </cacheFields>
  <extLst>
    <ext xmlns:x14="http://schemas.microsoft.com/office/spreadsheetml/2009/9/main" uri="{725AE2AE-9491-48be-B2B4-4EB974FC3084}">
      <x14:pivotCacheDefinition pivotCacheId="425444016"/>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na Mae Carbonel" refreshedDate="45730.786478819442" createdVersion="8" refreshedVersion="8" minRefreshableVersion="3" recordCount="39" xr:uid="{FDE5A472-6852-402A-A7D3-2723E55DA301}">
  <cacheSource type="worksheet">
    <worksheetSource name="Sal_by_State"/>
  </cacheSource>
  <cacheFields count="4">
    <cacheField name="Full State Name" numFmtId="0">
      <sharedItems count="39">
        <s v="New York"/>
        <s v="Virginia"/>
        <s v="Massachusetts"/>
        <s v="Arizona"/>
        <s v="California"/>
        <s v="District of Columbia"/>
        <s v="Illinois"/>
        <s v="Florida"/>
        <s v="Georgia"/>
        <s v="Missouri"/>
        <s v="Washington"/>
        <s v="Other"/>
        <s v="Kansas"/>
        <s v="Tennessee"/>
        <s v="Texas"/>
        <s v="Pennsylvania"/>
        <s v="Wisconsin"/>
        <s v="Nebraska"/>
        <s v="New Hampshire"/>
        <s v="New Jersey"/>
        <s v="Louisiana"/>
        <s v="Ohio"/>
        <s v="Indiana"/>
        <s v="Maryland"/>
        <s v="Colorado"/>
        <s v="Utah"/>
        <s v="Oregon"/>
        <s v="Michigan"/>
        <s v="South Carolina"/>
        <s v="Mississippi"/>
        <s v="Alabama"/>
        <s v="Rhode Island"/>
        <s v="Iowa"/>
        <s v="Minnesota"/>
        <s v="Oklahoma"/>
        <s v="Connecticut"/>
        <s v="North Carolina"/>
        <s v="Delaware"/>
        <s v="West Virginia"/>
      </sharedItems>
    </cacheField>
    <cacheField name="Count" numFmtId="0">
      <sharedItems containsSemiMixedTypes="0" containsString="0" containsNumber="1" containsInteger="1" minValue="1" maxValue="148"/>
    </cacheField>
    <cacheField name="Min Sal Avg" numFmtId="0">
      <sharedItems containsSemiMixedTypes="0" containsString="0" containsNumber="1" minValue="75000" maxValue="212000"/>
    </cacheField>
    <cacheField name="Max Sal Avg" numFmtId="0">
      <sharedItems containsSemiMixedTypes="0" containsString="0" containsNumber="1" minValue="107500" maxValue="331000"/>
    </cacheField>
  </cacheFields>
  <extLst>
    <ext xmlns:x14="http://schemas.microsoft.com/office/spreadsheetml/2009/9/main" uri="{725AE2AE-9491-48be-B2B4-4EB974FC3084}">
      <x14:pivotCacheDefinition pivotCacheId="421846515"/>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na Mae Carbonel" refreshedDate="45730.786479166665" createdVersion="8" refreshedVersion="8" minRefreshableVersion="3" recordCount="5" xr:uid="{7FEFA279-3FEE-48A9-8D8F-49EE9A18E6AE}">
  <cacheSource type="worksheet">
    <worksheetSource name="Sal_By_Role_Type"/>
  </cacheSource>
  <cacheFields count="4">
    <cacheField name="Role Type" numFmtId="0">
      <sharedItems count="5">
        <s v="Data Scientist"/>
        <s v="other"/>
        <s v="Data Analyst"/>
        <s v="Data Engineer"/>
        <s v="Machine Learning Engineer"/>
      </sharedItems>
    </cacheField>
    <cacheField name="Count" numFmtId="0">
      <sharedItems containsSemiMixedTypes="0" containsString="0" containsNumber="1" containsInteger="1" minValue="35" maxValue="432"/>
    </cacheField>
    <cacheField name="Min Sal Avg" numFmtId="0">
      <sharedItems containsSemiMixedTypes="0" containsString="0" containsNumber="1" minValue="92628.57142857142" maxValue="103928.57142857142"/>
    </cacheField>
    <cacheField name="Max Sal Avg" numFmtId="0">
      <sharedItems containsSemiMixedTypes="0" containsString="0" containsNumber="1" minValue="133510.63829787233" maxValue="150967.59259259258"/>
    </cacheField>
  </cacheFields>
  <extLst>
    <ext xmlns:x14="http://schemas.microsoft.com/office/spreadsheetml/2009/9/main" uri="{725AE2AE-9491-48be-B2B4-4EB974FC3084}">
      <x14:pivotCacheDefinition pivotCacheId="336526667"/>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na Mae Carbonel" refreshedDate="45730.860067245369" createdVersion="8" refreshedVersion="8" minRefreshableVersion="3" recordCount="23" xr:uid="{73E686F2-CCCC-4046-A2F9-6B5AC9F32C94}">
  <cacheSource type="worksheet">
    <worksheetSource name="Sal_by_Sector"/>
  </cacheSource>
  <cacheFields count="4">
    <cacheField name="Sector" numFmtId="0">
      <sharedItems count="23">
        <s v="Insurance"/>
        <s v="Business Services"/>
        <s v="Information Technology"/>
        <s v="Government"/>
        <s v="Manufacturing"/>
        <s v="Biotech &amp; Pharmaceuticals"/>
        <s v="Retail"/>
        <s v="Aerospace &amp; Defense"/>
        <s v="Finance"/>
        <s v="Oil, Gas, Energy &amp; Utilities"/>
        <s v="Health Care"/>
        <s v="Others"/>
        <s v="Transportation &amp; Logistics"/>
        <s v="Media"/>
        <s v="Telecommunications"/>
        <s v="Real Estate"/>
        <s v="Travel &amp; Tourism"/>
        <s v="Agriculture &amp; Forestry"/>
        <s v="Education"/>
        <s v="Accounting &amp; Legal"/>
        <s v="Non-Profit"/>
        <s v="Construction, Repair &amp; Maintenance"/>
        <s v="Consumer Services"/>
      </sharedItems>
    </cacheField>
    <cacheField name="Count" numFmtId="0">
      <sharedItems containsSemiMixedTypes="0" containsString="0" containsNumber="1" containsInteger="1" minValue="1" maxValue="188"/>
    </cacheField>
    <cacheField name="Avg Min Sal" numFmtId="0">
      <sharedItems containsSemiMixedTypes="0" containsString="0" containsNumber="1" minValue="31000" maxValue="158500"/>
    </cacheField>
    <cacheField name="Avg Max Sal" numFmtId="0">
      <sharedItems containsSemiMixedTypes="0" containsString="0" containsNumber="1" minValue="56000" maxValue="249000"/>
    </cacheField>
  </cacheFields>
  <extLst>
    <ext xmlns:x14="http://schemas.microsoft.com/office/spreadsheetml/2009/9/main" uri="{725AE2AE-9491-48be-B2B4-4EB974FC3084}">
      <x14:pivotCacheDefinition pivotCacheId="82236655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na Mae Carbonel" refreshedDate="45730.860894907404" createdVersion="8" refreshedVersion="8" minRefreshableVersion="3" recordCount="132" xr:uid="{6C9ABBAD-301F-4459-9C4A-2FFE9A1E920B}">
  <cacheSource type="worksheet">
    <worksheetSource name="Sector_Employs"/>
  </cacheSource>
  <cacheFields count="3">
    <cacheField name="Role Type" numFmtId="0">
      <sharedItems/>
    </cacheField>
    <cacheField name="Type of ownership" numFmtId="0">
      <sharedItems count="12">
        <s v="Nonprofit Organization"/>
        <s v="Company - Private"/>
        <s v="Company - Public"/>
        <s v="Private Practice / Firm"/>
        <s v="Government"/>
        <s v="Subsidiary or Business Segment"/>
        <s v="Other Organization"/>
        <s v="Unknown"/>
        <s v="Hospital"/>
        <s v="Self-employed"/>
        <s v="College / University"/>
        <s v="Contract"/>
      </sharedItems>
    </cacheField>
    <cacheField name="Sector" numFmtId="0">
      <sharedItems count="23">
        <s v="Insurance"/>
        <s v="Business Services"/>
        <s v="Information Technology"/>
        <s v="Government"/>
        <s v="Manufacturing"/>
        <s v="Biotech &amp; Pharmaceuticals"/>
        <s v="Retail"/>
        <s v="Aerospace &amp; Defense"/>
        <s v="Finance"/>
        <s v="Oil, Gas, Energy &amp; Utilities"/>
        <s v="Health Care"/>
        <s v="Others"/>
        <s v="Transportation &amp; Logistics"/>
        <s v="Media"/>
        <s v="Telecommunications"/>
        <s v="Real Estate"/>
        <s v="Travel &amp; Tourism"/>
        <s v="Agriculture &amp; Forestry"/>
        <s v="Education"/>
        <s v="Accounting &amp; Legal"/>
        <s v="Non-Profit"/>
        <s v="Construction, Repair &amp; Maintenance"/>
        <s v="Consumer Services"/>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x v="0"/>
    <s v="1001"/>
    <n v="5000"/>
    <n v="104"/>
    <n v="97403.846153846156"/>
    <n v="146105.76923076922"/>
  </r>
  <r>
    <x v="1"/>
    <s v="51"/>
    <n v="200"/>
    <n v="135"/>
    <n v="103429.62962962964"/>
    <n v="151414.8148148148"/>
  </r>
  <r>
    <x v="2"/>
    <s v="5001"/>
    <n v="10000"/>
    <n v="61"/>
    <n v="103721.31147540984"/>
    <n v="149606.55737704918"/>
  </r>
  <r>
    <x v="3"/>
    <s v="501"/>
    <n v="1000"/>
    <n v="77"/>
    <n v="95467.532467532466"/>
    <n v="146402.5974025974"/>
  </r>
  <r>
    <x v="4"/>
    <s v="1"/>
    <n v="50"/>
    <n v="86"/>
    <n v="95348.837209302321"/>
    <n v="144627.90697674418"/>
  </r>
  <r>
    <x v="5"/>
    <s v="10000+"/>
    <m/>
    <n v="80"/>
    <n v="97412.5"/>
    <n v="147550"/>
  </r>
  <r>
    <x v="6"/>
    <s v="201"/>
    <n v="500"/>
    <n v="85"/>
    <n v="94858.823529411762"/>
    <n v="143082.3529411764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9">
  <r>
    <x v="0"/>
    <n v="51"/>
    <n v="108196.07843137255"/>
    <n v="166117.64705882352"/>
  </r>
  <r>
    <x v="1"/>
    <n v="86"/>
    <n v="102011.62790697673"/>
    <n v="151965.11627906977"/>
  </r>
  <r>
    <x v="2"/>
    <n v="61"/>
    <n v="97475.409836065577"/>
    <n v="140426.22950819673"/>
  </r>
  <r>
    <x v="3"/>
    <n v="4"/>
    <n v="115250"/>
    <n v="166500"/>
  </r>
  <r>
    <x v="4"/>
    <n v="148"/>
    <n v="95689.189189189186"/>
    <n v="143729.72972972973"/>
  </r>
  <r>
    <x v="5"/>
    <n v="26"/>
    <n v="111346.15384615384"/>
    <n v="167653.84615384616"/>
  </r>
  <r>
    <x v="6"/>
    <n v="29"/>
    <n v="96793.103448275855"/>
    <n v="143931.03448275861"/>
  </r>
  <r>
    <x v="7"/>
    <n v="8"/>
    <n v="96625"/>
    <n v="140250"/>
  </r>
  <r>
    <x v="8"/>
    <n v="9"/>
    <n v="86333.333333333343"/>
    <n v="133000"/>
  </r>
  <r>
    <x v="9"/>
    <n v="12"/>
    <n v="91750"/>
    <n v="138166.66666666666"/>
  </r>
  <r>
    <x v="10"/>
    <n v="15"/>
    <n v="105666.66666666667"/>
    <n v="163733.33333333334"/>
  </r>
  <r>
    <x v="11"/>
    <n v="17"/>
    <n v="96705.882352941175"/>
    <n v="145176.4705882353"/>
  </r>
  <r>
    <x v="12"/>
    <n v="1"/>
    <n v="75000"/>
    <n v="131000"/>
  </r>
  <r>
    <x v="13"/>
    <n v="8"/>
    <n v="81750"/>
    <n v="122625"/>
  </r>
  <r>
    <x v="14"/>
    <n v="18"/>
    <n v="106722.22222222222"/>
    <n v="161055.55555555556"/>
  </r>
  <r>
    <x v="15"/>
    <n v="12"/>
    <n v="97500"/>
    <n v="154166.66666666666"/>
  </r>
  <r>
    <x v="16"/>
    <n v="6"/>
    <n v="115666.66666666667"/>
    <n v="173166.66666666666"/>
  </r>
  <r>
    <x v="17"/>
    <n v="2"/>
    <n v="77000"/>
    <n v="132000"/>
  </r>
  <r>
    <x v="18"/>
    <n v="2"/>
    <n v="99500"/>
    <n v="164500"/>
  </r>
  <r>
    <x v="19"/>
    <n v="12"/>
    <n v="96833.333333333328"/>
    <n v="144000"/>
  </r>
  <r>
    <x v="20"/>
    <n v="1"/>
    <n v="75000"/>
    <n v="131000"/>
  </r>
  <r>
    <x v="21"/>
    <n v="14"/>
    <n v="94571.42857142858"/>
    <n v="148857.14285714287"/>
  </r>
  <r>
    <x v="22"/>
    <n v="5"/>
    <n v="90600"/>
    <n v="136200"/>
  </r>
  <r>
    <x v="23"/>
    <n v="39"/>
    <n v="91282.051282051281"/>
    <n v="134666.66666666666"/>
  </r>
  <r>
    <x v="24"/>
    <n v="10"/>
    <n v="83600"/>
    <n v="123700"/>
  </r>
  <r>
    <x v="25"/>
    <n v="5"/>
    <n v="89000"/>
    <n v="124400"/>
  </r>
  <r>
    <x v="26"/>
    <n v="2"/>
    <n v="109000"/>
    <n v="155000"/>
  </r>
  <r>
    <x v="27"/>
    <n v="5"/>
    <n v="94000"/>
    <n v="144000"/>
  </r>
  <r>
    <x v="28"/>
    <n v="2"/>
    <n v="84500"/>
    <n v="107500"/>
  </r>
  <r>
    <x v="29"/>
    <n v="1"/>
    <n v="101000"/>
    <n v="165000"/>
  </r>
  <r>
    <x v="30"/>
    <n v="4"/>
    <n v="109750"/>
    <n v="152500"/>
  </r>
  <r>
    <x v="31"/>
    <n v="2"/>
    <n v="100500"/>
    <n v="161000"/>
  </r>
  <r>
    <x v="32"/>
    <n v="3"/>
    <n v="108333.33333333334"/>
    <n v="173333.33333333331"/>
  </r>
  <r>
    <x v="33"/>
    <n v="4"/>
    <n v="78000"/>
    <n v="110000"/>
  </r>
  <r>
    <x v="34"/>
    <n v="6"/>
    <n v="100833.33333333333"/>
    <n v="145000"/>
  </r>
  <r>
    <x v="35"/>
    <n v="4"/>
    <n v="79500"/>
    <n v="116750"/>
  </r>
  <r>
    <x v="36"/>
    <n v="9"/>
    <n v="121222.22222222222"/>
    <n v="179000"/>
  </r>
  <r>
    <x v="37"/>
    <n v="1"/>
    <n v="212000"/>
    <n v="331000"/>
  </r>
  <r>
    <x v="38"/>
    <n v="1"/>
    <n v="87000"/>
    <n v="14100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x v="0"/>
    <n v="432"/>
    <n v="99354.166666666657"/>
    <n v="150967.59259259258"/>
  </r>
  <r>
    <x v="1"/>
    <n v="84"/>
    <n v="103928.57142857142"/>
    <n v="146750"/>
  </r>
  <r>
    <x v="2"/>
    <n v="47"/>
    <n v="93531.914893617024"/>
    <n v="142042.55319148937"/>
  </r>
  <r>
    <x v="3"/>
    <n v="47"/>
    <n v="94106.382978723399"/>
    <n v="133510.63829787233"/>
  </r>
  <r>
    <x v="4"/>
    <n v="35"/>
    <n v="92628.57142857142"/>
    <n v="140942.85714285713"/>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x v="0"/>
    <n v="32"/>
    <n v="88781.25"/>
    <n v="133781.25"/>
  </r>
  <r>
    <x v="1"/>
    <n v="120"/>
    <n v="104566.66666666667"/>
    <n v="155591.66666666666"/>
  </r>
  <r>
    <x v="2"/>
    <n v="188"/>
    <n v="95037.234042553202"/>
    <n v="142781.91489361701"/>
  </r>
  <r>
    <x v="3"/>
    <n v="17"/>
    <n v="108529.41176470587"/>
    <n v="160411.76470588235"/>
  </r>
  <r>
    <x v="4"/>
    <n v="23"/>
    <n v="100956.52173913043"/>
    <n v="145521.73913043478"/>
  </r>
  <r>
    <x v="5"/>
    <n v="66"/>
    <n v="97954.545454545456"/>
    <n v="147787.87878787878"/>
  </r>
  <r>
    <x v="6"/>
    <n v="7"/>
    <n v="119857.14285714286"/>
    <n v="180428.57142857142"/>
  </r>
  <r>
    <x v="7"/>
    <n v="46"/>
    <n v="108021.73913043478"/>
    <n v="157369.5652173913"/>
  </r>
  <r>
    <x v="8"/>
    <n v="33"/>
    <n v="91909.090909090912"/>
    <n v="139090.90909090909"/>
  </r>
  <r>
    <x v="9"/>
    <n v="10"/>
    <n v="82800"/>
    <n v="119800"/>
  </r>
  <r>
    <x v="10"/>
    <n v="21"/>
    <n v="97333.333333333328"/>
    <n v="142190.47619047618"/>
  </r>
  <r>
    <x v="11"/>
    <n v="44"/>
    <n v="100840.90909090909"/>
    <n v="157113.63636363635"/>
  </r>
  <r>
    <x v="12"/>
    <n v="6"/>
    <n v="92333.333333333328"/>
    <n v="143166.66666666666"/>
  </r>
  <r>
    <x v="13"/>
    <n v="5"/>
    <n v="126400"/>
    <n v="184200"/>
  </r>
  <r>
    <x v="14"/>
    <n v="7"/>
    <n v="90714.28571428571"/>
    <n v="134000"/>
  </r>
  <r>
    <x v="15"/>
    <n v="3"/>
    <n v="87666.666666666672"/>
    <n v="146000"/>
  </r>
  <r>
    <x v="16"/>
    <n v="3"/>
    <n v="106333.33333333334"/>
    <n v="151000"/>
  </r>
  <r>
    <x v="17"/>
    <n v="3"/>
    <n v="75666.666666666672"/>
    <n v="132000"/>
  </r>
  <r>
    <x v="18"/>
    <n v="3"/>
    <n v="95333.333333333328"/>
    <n v="140333.33333333334"/>
  </r>
  <r>
    <x v="19"/>
    <n v="3"/>
    <n v="99666.666666666672"/>
    <n v="149666.66666666666"/>
  </r>
  <r>
    <x v="20"/>
    <n v="1"/>
    <n v="31000"/>
    <n v="56000"/>
  </r>
  <r>
    <x v="21"/>
    <n v="2"/>
    <n v="55500"/>
    <n v="94000"/>
  </r>
  <r>
    <x v="22"/>
    <n v="2"/>
    <n v="158500"/>
    <n v="24900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2">
  <r>
    <s v="Data Scientist"/>
    <x v="0"/>
    <x v="0"/>
  </r>
  <r>
    <s v="Data Scientist"/>
    <x v="1"/>
    <x v="1"/>
  </r>
  <r>
    <s v="Data Scientist"/>
    <x v="1"/>
    <x v="2"/>
  </r>
  <r>
    <s v="Data Scientist"/>
    <x v="2"/>
    <x v="1"/>
  </r>
  <r>
    <s v="Data Scientist"/>
    <x v="1"/>
    <x v="3"/>
  </r>
  <r>
    <s v="Data Scientist"/>
    <x v="3"/>
    <x v="1"/>
  </r>
  <r>
    <s v="Data Scientist"/>
    <x v="2"/>
    <x v="4"/>
  </r>
  <r>
    <s v="Data Scientist"/>
    <x v="2"/>
    <x v="5"/>
  </r>
  <r>
    <s v="Data Scientist"/>
    <x v="2"/>
    <x v="6"/>
  </r>
  <r>
    <s v="Data Scientist"/>
    <x v="0"/>
    <x v="7"/>
  </r>
  <r>
    <s v="Data Analyst"/>
    <x v="1"/>
    <x v="8"/>
  </r>
  <r>
    <s v="Machine Learning Engineer"/>
    <x v="2"/>
    <x v="5"/>
  </r>
  <r>
    <s v="other"/>
    <x v="2"/>
    <x v="1"/>
  </r>
  <r>
    <s v="Data Scientist"/>
    <x v="2"/>
    <x v="2"/>
  </r>
  <r>
    <s v="other"/>
    <x v="1"/>
    <x v="5"/>
  </r>
  <r>
    <s v="Data Scientist"/>
    <x v="4"/>
    <x v="3"/>
  </r>
  <r>
    <s v="Data Analyst"/>
    <x v="1"/>
    <x v="1"/>
  </r>
  <r>
    <s v="other"/>
    <x v="1"/>
    <x v="4"/>
  </r>
  <r>
    <s v="Data Scientist"/>
    <x v="1"/>
    <x v="8"/>
  </r>
  <r>
    <s v="Data Scientist"/>
    <x v="4"/>
    <x v="9"/>
  </r>
  <r>
    <s v="Data Scientist"/>
    <x v="1"/>
    <x v="9"/>
  </r>
  <r>
    <s v="Data Engineer"/>
    <x v="1"/>
    <x v="2"/>
  </r>
  <r>
    <s v="Data Scientist"/>
    <x v="1"/>
    <x v="10"/>
  </r>
  <r>
    <s v="Data Scientist"/>
    <x v="1"/>
    <x v="4"/>
  </r>
  <r>
    <s v="Data Analyst"/>
    <x v="2"/>
    <x v="2"/>
  </r>
  <r>
    <s v="other"/>
    <x v="0"/>
    <x v="10"/>
  </r>
  <r>
    <s v="other"/>
    <x v="1"/>
    <x v="0"/>
  </r>
  <r>
    <s v="Data Scientist"/>
    <x v="1"/>
    <x v="0"/>
  </r>
  <r>
    <s v="other"/>
    <x v="1"/>
    <x v="2"/>
  </r>
  <r>
    <s v="Machine Learning Engineer"/>
    <x v="1"/>
    <x v="0"/>
  </r>
  <r>
    <s v="Data Analyst"/>
    <x v="1"/>
    <x v="11"/>
  </r>
  <r>
    <s v="Data Analyst"/>
    <x v="1"/>
    <x v="2"/>
  </r>
  <r>
    <s v="Data Scientist"/>
    <x v="1"/>
    <x v="5"/>
  </r>
  <r>
    <s v="Data Scientist"/>
    <x v="1"/>
    <x v="12"/>
  </r>
  <r>
    <s v="Data Analyst"/>
    <x v="2"/>
    <x v="0"/>
  </r>
  <r>
    <s v="Machine Learning Engineer"/>
    <x v="1"/>
    <x v="7"/>
  </r>
  <r>
    <s v="Data Analyst"/>
    <x v="5"/>
    <x v="4"/>
  </r>
  <r>
    <s v="Data Engineer"/>
    <x v="1"/>
    <x v="8"/>
  </r>
  <r>
    <s v="Machine Learning Engineer"/>
    <x v="1"/>
    <x v="5"/>
  </r>
  <r>
    <s v="Data Engineer"/>
    <x v="2"/>
    <x v="1"/>
  </r>
  <r>
    <s v="Data Analyst"/>
    <x v="2"/>
    <x v="4"/>
  </r>
  <r>
    <s v="Data Analyst"/>
    <x v="5"/>
    <x v="0"/>
  </r>
  <r>
    <s v="Data Engineer"/>
    <x v="0"/>
    <x v="0"/>
  </r>
  <r>
    <s v="Data Engineer"/>
    <x v="1"/>
    <x v="1"/>
  </r>
  <r>
    <s v="Data Analyst"/>
    <x v="0"/>
    <x v="10"/>
  </r>
  <r>
    <s v="Machine Learning Engineer"/>
    <x v="1"/>
    <x v="2"/>
  </r>
  <r>
    <s v="Data Scientist"/>
    <x v="6"/>
    <x v="8"/>
  </r>
  <r>
    <s v="Data Scientist"/>
    <x v="1"/>
    <x v="7"/>
  </r>
  <r>
    <s v="Data Engineer"/>
    <x v="2"/>
    <x v="10"/>
  </r>
  <r>
    <s v="Data Engineer"/>
    <x v="1"/>
    <x v="5"/>
  </r>
  <r>
    <s v="Data Analyst"/>
    <x v="2"/>
    <x v="8"/>
  </r>
  <r>
    <s v="Data Analyst"/>
    <x v="5"/>
    <x v="13"/>
  </r>
  <r>
    <s v="Data Scientist"/>
    <x v="2"/>
    <x v="7"/>
  </r>
  <r>
    <s v="Data Scientist"/>
    <x v="0"/>
    <x v="1"/>
  </r>
  <r>
    <s v="Data Engineer"/>
    <x v="1"/>
    <x v="10"/>
  </r>
  <r>
    <s v="other"/>
    <x v="1"/>
    <x v="12"/>
  </r>
  <r>
    <s v="Data Scientist"/>
    <x v="2"/>
    <x v="14"/>
  </r>
  <r>
    <s v="Data Engineer"/>
    <x v="1"/>
    <x v="13"/>
  </r>
  <r>
    <s v="other"/>
    <x v="0"/>
    <x v="9"/>
  </r>
  <r>
    <s v="Data Scientist"/>
    <x v="0"/>
    <x v="3"/>
  </r>
  <r>
    <s v="other"/>
    <x v="5"/>
    <x v="5"/>
  </r>
  <r>
    <s v="other"/>
    <x v="1"/>
    <x v="1"/>
  </r>
  <r>
    <s v="Data Scientist"/>
    <x v="5"/>
    <x v="14"/>
  </r>
  <r>
    <s v="Data Analyst"/>
    <x v="1"/>
    <x v="0"/>
  </r>
  <r>
    <s v="Data Analyst"/>
    <x v="0"/>
    <x v="14"/>
  </r>
  <r>
    <s v="other"/>
    <x v="5"/>
    <x v="2"/>
  </r>
  <r>
    <s v="Data Scientist"/>
    <x v="1"/>
    <x v="15"/>
  </r>
  <r>
    <s v="Data Analyst"/>
    <x v="2"/>
    <x v="1"/>
  </r>
  <r>
    <s v="Data Engineer"/>
    <x v="2"/>
    <x v="11"/>
  </r>
  <r>
    <s v="Data Analyst"/>
    <x v="6"/>
    <x v="5"/>
  </r>
  <r>
    <s v="Data Analyst"/>
    <x v="5"/>
    <x v="8"/>
  </r>
  <r>
    <s v="Machine Learning Engineer"/>
    <x v="0"/>
    <x v="3"/>
  </r>
  <r>
    <s v="Data Scientist"/>
    <x v="2"/>
    <x v="0"/>
  </r>
  <r>
    <s v="other"/>
    <x v="2"/>
    <x v="5"/>
  </r>
  <r>
    <s v="Data Scientist"/>
    <x v="5"/>
    <x v="1"/>
  </r>
  <r>
    <s v="Machine Learning Engineer"/>
    <x v="5"/>
    <x v="2"/>
  </r>
  <r>
    <s v="Data Scientist"/>
    <x v="2"/>
    <x v="11"/>
  </r>
  <r>
    <s v="Data Scientist"/>
    <x v="1"/>
    <x v="11"/>
  </r>
  <r>
    <s v="Machine Learning Engineer"/>
    <x v="2"/>
    <x v="7"/>
  </r>
  <r>
    <s v="other"/>
    <x v="2"/>
    <x v="4"/>
  </r>
  <r>
    <s v="Data Analyst"/>
    <x v="2"/>
    <x v="9"/>
  </r>
  <r>
    <s v="other"/>
    <x v="0"/>
    <x v="1"/>
  </r>
  <r>
    <s v="other"/>
    <x v="2"/>
    <x v="8"/>
  </r>
  <r>
    <s v="Data Scientist"/>
    <x v="2"/>
    <x v="12"/>
  </r>
  <r>
    <s v="other"/>
    <x v="1"/>
    <x v="7"/>
  </r>
  <r>
    <s v="Data Scientist"/>
    <x v="1"/>
    <x v="13"/>
  </r>
  <r>
    <s v="Data Scientist"/>
    <x v="7"/>
    <x v="11"/>
  </r>
  <r>
    <s v="other"/>
    <x v="3"/>
    <x v="1"/>
  </r>
  <r>
    <s v="Data Scientist"/>
    <x v="0"/>
    <x v="5"/>
  </r>
  <r>
    <s v="Data Scientist"/>
    <x v="2"/>
    <x v="15"/>
  </r>
  <r>
    <s v="Data Scientist"/>
    <x v="2"/>
    <x v="13"/>
  </r>
  <r>
    <s v="Data Scientist"/>
    <x v="1"/>
    <x v="6"/>
  </r>
  <r>
    <s v="Data Scientist"/>
    <x v="8"/>
    <x v="10"/>
  </r>
  <r>
    <s v="Data Scientist"/>
    <x v="1"/>
    <x v="16"/>
  </r>
  <r>
    <s v="Data Scientist"/>
    <x v="2"/>
    <x v="8"/>
  </r>
  <r>
    <s v="Machine Learning Engineer"/>
    <x v="1"/>
    <x v="8"/>
  </r>
  <r>
    <s v="Data Scientist"/>
    <x v="9"/>
    <x v="17"/>
  </r>
  <r>
    <s v="Machine Learning Engineer"/>
    <x v="10"/>
    <x v="18"/>
  </r>
  <r>
    <s v="Data Engineer"/>
    <x v="2"/>
    <x v="2"/>
  </r>
  <r>
    <s v="Data Scientist"/>
    <x v="5"/>
    <x v="2"/>
  </r>
  <r>
    <s v="other"/>
    <x v="0"/>
    <x v="7"/>
  </r>
  <r>
    <s v="Machine Learning Engineer"/>
    <x v="0"/>
    <x v="1"/>
  </r>
  <r>
    <s v="Data Scientist"/>
    <x v="5"/>
    <x v="9"/>
  </r>
  <r>
    <s v="other"/>
    <x v="11"/>
    <x v="2"/>
  </r>
  <r>
    <s v="Data Engineer"/>
    <x v="2"/>
    <x v="0"/>
  </r>
  <r>
    <s v="Data Analyst"/>
    <x v="5"/>
    <x v="2"/>
  </r>
  <r>
    <s v="Data Engineer"/>
    <x v="1"/>
    <x v="3"/>
  </r>
  <r>
    <s v="Data Engineer"/>
    <x v="6"/>
    <x v="8"/>
  </r>
  <r>
    <s v="other"/>
    <x v="2"/>
    <x v="10"/>
  </r>
  <r>
    <s v="Data Analyst"/>
    <x v="1"/>
    <x v="10"/>
  </r>
  <r>
    <s v="Data Scientist"/>
    <x v="1"/>
    <x v="19"/>
  </r>
  <r>
    <s v="Data Scientist"/>
    <x v="1"/>
    <x v="17"/>
  </r>
  <r>
    <s v="Data Scientist"/>
    <x v="3"/>
    <x v="10"/>
  </r>
  <r>
    <s v="Data Scientist"/>
    <x v="1"/>
    <x v="14"/>
  </r>
  <r>
    <s v="Data Scientist"/>
    <x v="0"/>
    <x v="10"/>
  </r>
  <r>
    <s v="Data Scientist"/>
    <x v="0"/>
    <x v="20"/>
  </r>
  <r>
    <s v="Data Scientist"/>
    <x v="1"/>
    <x v="21"/>
  </r>
  <r>
    <s v="Data Scientist"/>
    <x v="4"/>
    <x v="11"/>
  </r>
  <r>
    <s v="Data Scientist"/>
    <x v="1"/>
    <x v="22"/>
  </r>
  <r>
    <s v="Machine Learning Engineer"/>
    <x v="2"/>
    <x v="2"/>
  </r>
  <r>
    <s v="other"/>
    <x v="1"/>
    <x v="8"/>
  </r>
  <r>
    <s v="Data Scientist"/>
    <x v="11"/>
    <x v="2"/>
  </r>
  <r>
    <s v="Data Analyst"/>
    <x v="0"/>
    <x v="1"/>
  </r>
  <r>
    <s v="other"/>
    <x v="2"/>
    <x v="2"/>
  </r>
  <r>
    <s v="Data Engineer"/>
    <x v="1"/>
    <x v="4"/>
  </r>
  <r>
    <s v="other"/>
    <x v="10"/>
    <x v="18"/>
  </r>
  <r>
    <s v="Data Analyst"/>
    <x v="6"/>
    <x v="8"/>
  </r>
  <r>
    <s v="other"/>
    <x v="2"/>
    <x v="11"/>
  </r>
  <r>
    <s v="other"/>
    <x v="4"/>
    <x v="3"/>
  </r>
  <r>
    <s v="Data Engineer"/>
    <x v="2"/>
    <x v="7"/>
  </r>
  <r>
    <s v="Data Scientist"/>
    <x v="5"/>
    <x v="12"/>
  </r>
  <r>
    <s v="Data Engineer"/>
    <x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F5B20E0-2D5E-4830-A4F6-0F3C296ED1EF}" name="PivotTable2" cacheId="1"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location ref="A23:B62" firstHeaderRow="1" firstDataRow="1" firstDataCol="1"/>
  <pivotFields count="4">
    <pivotField axis="axisRow" showAll="0">
      <items count="40">
        <item x="30"/>
        <item x="3"/>
        <item x="4"/>
        <item x="24"/>
        <item x="35"/>
        <item x="37"/>
        <item x="5"/>
        <item x="7"/>
        <item x="8"/>
        <item x="6"/>
        <item x="22"/>
        <item x="32"/>
        <item x="12"/>
        <item x="20"/>
        <item x="23"/>
        <item x="2"/>
        <item x="27"/>
        <item x="33"/>
        <item x="29"/>
        <item x="9"/>
        <item x="17"/>
        <item x="18"/>
        <item x="19"/>
        <item x="0"/>
        <item x="36"/>
        <item x="21"/>
        <item x="34"/>
        <item x="26"/>
        <item x="11"/>
        <item x="15"/>
        <item x="31"/>
        <item x="28"/>
        <item x="13"/>
        <item x="14"/>
        <item x="25"/>
        <item x="1"/>
        <item x="10"/>
        <item x="38"/>
        <item x="16"/>
        <item t="default"/>
      </items>
    </pivotField>
    <pivotField dataField="1" showAll="0"/>
    <pivotField showAll="0"/>
    <pivotField showAll="0"/>
  </pivotFields>
  <rowFields count="1">
    <field x="0"/>
  </rowFields>
  <rowItems count="3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rowItems>
  <colItems count="1">
    <i/>
  </colItems>
  <dataFields count="1">
    <dataField name="Sum of Count" fld="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C49A821-CD70-471C-8E17-46DC6F85EC68}" name="PivotTable1" cacheId="2"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6">
  <location ref="A1:C6" firstHeaderRow="0" firstDataRow="1" firstDataCol="1"/>
  <pivotFields count="4">
    <pivotField axis="axisRow" showAll="0" sortType="descending">
      <items count="6">
        <item x="1"/>
        <item x="4"/>
        <item x="0"/>
        <item x="3"/>
        <item x="2"/>
        <item t="default"/>
      </items>
      <autoSortScope>
        <pivotArea dataOnly="0" outline="0" fieldPosition="0">
          <references count="1">
            <reference field="4294967294" count="1" selected="0">
              <x v="1"/>
            </reference>
          </references>
        </pivotArea>
      </autoSortScope>
    </pivotField>
    <pivotField showAll="0"/>
    <pivotField dataField="1" showAll="0"/>
    <pivotField dataField="1" showAll="0"/>
  </pivotFields>
  <rowFields count="1">
    <field x="0"/>
  </rowFields>
  <rowItems count="5">
    <i>
      <x v="2"/>
    </i>
    <i>
      <x/>
    </i>
    <i>
      <x v="4"/>
    </i>
    <i>
      <x v="1"/>
    </i>
    <i>
      <x v="3"/>
    </i>
  </rowItems>
  <colFields count="1">
    <field x="-2"/>
  </colFields>
  <colItems count="2">
    <i>
      <x/>
    </i>
    <i i="1">
      <x v="1"/>
    </i>
  </colItems>
  <dataFields count="2">
    <dataField name="Sum of Min Sal Avg" fld="2" baseField="0" baseItem="0"/>
    <dataField name="Sum of Max Sal Avg" fld="3" baseField="0" baseItem="0"/>
  </dataFields>
  <formats count="2">
    <format dxfId="6">
      <pivotArea outline="0" collapsedLevelsAreSubtotals="1" fieldPosition="0"/>
    </format>
    <format dxfId="5">
      <pivotArea dataOnly="0" labelOnly="1" outline="0" fieldPosition="0">
        <references count="1">
          <reference field="4294967294" count="2">
            <x v="0"/>
            <x v="1"/>
          </reference>
        </references>
      </pivotArea>
    </format>
  </formats>
  <chartFormats count="2">
    <chartFormat chart="5" format="4" series="1">
      <pivotArea type="data" outline="0" fieldPosition="0">
        <references count="1">
          <reference field="4294967294" count="1" selected="0">
            <x v="0"/>
          </reference>
        </references>
      </pivotArea>
    </chartFormat>
    <chartFormat chart="5"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DB2C45A-2FF0-4780-90B8-B5F701D18EFF}" name="PivotTable7" cacheId="1"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4">
  <location ref="A16:B21" firstHeaderRow="1" firstDataRow="1" firstDataCol="1"/>
  <pivotFields count="4">
    <pivotField axis="axisRow" showAll="0" measureFilter="1" sortType="descending">
      <items count="40">
        <item x="30"/>
        <item x="3"/>
        <item x="4"/>
        <item x="24"/>
        <item x="35"/>
        <item x="37"/>
        <item x="5"/>
        <item x="7"/>
        <item x="8"/>
        <item x="6"/>
        <item x="22"/>
        <item x="32"/>
        <item x="12"/>
        <item x="20"/>
        <item x="23"/>
        <item x="2"/>
        <item x="27"/>
        <item x="33"/>
        <item x="29"/>
        <item x="9"/>
        <item x="17"/>
        <item x="18"/>
        <item x="19"/>
        <item x="0"/>
        <item x="36"/>
        <item x="21"/>
        <item x="34"/>
        <item x="26"/>
        <item x="11"/>
        <item x="15"/>
        <item x="31"/>
        <item x="28"/>
        <item x="13"/>
        <item x="14"/>
        <item x="25"/>
        <item x="1"/>
        <item x="10"/>
        <item x="38"/>
        <item x="16"/>
        <item t="default"/>
      </items>
      <autoSortScope>
        <pivotArea dataOnly="0" outline="0" fieldPosition="0">
          <references count="1">
            <reference field="4294967294" count="1" selected="0">
              <x v="0"/>
            </reference>
          </references>
        </pivotArea>
      </autoSortScope>
    </pivotField>
    <pivotField dataField="1" showAll="0"/>
    <pivotField showAll="0"/>
    <pivotField showAll="0"/>
  </pivotFields>
  <rowFields count="1">
    <field x="0"/>
  </rowFields>
  <rowItems count="5">
    <i>
      <x v="2"/>
    </i>
    <i>
      <x v="35"/>
    </i>
    <i>
      <x v="15"/>
    </i>
    <i>
      <x v="23"/>
    </i>
    <i>
      <x v="14"/>
    </i>
  </rowItems>
  <colItems count="1">
    <i/>
  </colItems>
  <dataFields count="1">
    <dataField name="Sum of Count" fld="1"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C5D16AB-1057-4309-B13C-899011FDC5F4}" name="PivotTable5"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8">
  <location ref="A8:B15" firstHeaderRow="1" firstDataRow="1" firstDataCol="1"/>
  <pivotFields count="6">
    <pivotField axis="axisRow" showAll="0" sortType="descending">
      <items count="9">
        <item m="1" x="7"/>
        <item x="1"/>
        <item x="3"/>
        <item x="2"/>
        <item x="6"/>
        <item x="4"/>
        <item x="0"/>
        <item x="5"/>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dataField="1" showAll="0"/>
  </pivotFields>
  <rowFields count="1">
    <field x="0"/>
  </rowFields>
  <rowItems count="7">
    <i>
      <x v="1"/>
    </i>
    <i>
      <x v="3"/>
    </i>
    <i>
      <x v="7"/>
    </i>
    <i>
      <x v="2"/>
    </i>
    <i>
      <x v="6"/>
    </i>
    <i>
      <x v="5"/>
    </i>
    <i>
      <x v="4"/>
    </i>
  </rowItems>
  <colItems count="1">
    <i/>
  </colItems>
  <dataFields count="1">
    <dataField name="Sum of Max Sal Avg" fld="5" baseField="0" baseItem="0" numFmtId="4"/>
  </dataFields>
  <formats count="1">
    <format dxfId="7">
      <pivotArea outline="0" collapsedLevelsAreSubtotals="1" fieldPosition="0"/>
    </format>
  </formats>
  <chartFormats count="1">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C9EDA84-BB66-4FC9-AC22-86A98DEAF794}" name="PivotTable4" cacheId="4" applyNumberFormats="0" applyBorderFormats="0" applyFontFormats="0" applyPatternFormats="0" applyAlignmentFormats="0" applyWidthHeightFormats="1" dataCaption="Values" updatedVersion="8" minRefreshableVersion="3" useAutoFormatting="1" rowGrandTotals="0" itemPrintTitles="1" createdVersion="8" indent="0" compact="0" compactData="0" gridDropZones="1" multipleFieldFilters="0" chartFormat="6">
  <location ref="E27:F51" firstHeaderRow="2" firstDataRow="2" firstDataCol="1"/>
  <pivotFields count="3">
    <pivotField dataField="1" compact="0" outline="0" showAll="0"/>
    <pivotField compact="0" outline="0" showAll="0">
      <items count="13">
        <item x="10"/>
        <item x="1"/>
        <item x="2"/>
        <item x="11"/>
        <item x="4"/>
        <item x="8"/>
        <item x="0"/>
        <item x="6"/>
        <item x="3"/>
        <item x="9"/>
        <item x="5"/>
        <item x="7"/>
        <item t="default"/>
      </items>
    </pivotField>
    <pivotField axis="axisRow" compact="0" outline="0" showAll="0" sortType="descending" defaultSubtotal="0">
      <items count="23">
        <item x="19"/>
        <item x="7"/>
        <item x="17"/>
        <item x="5"/>
        <item x="1"/>
        <item x="21"/>
        <item x="22"/>
        <item x="18"/>
        <item x="8"/>
        <item x="3"/>
        <item x="10"/>
        <item x="2"/>
        <item x="0"/>
        <item x="4"/>
        <item x="13"/>
        <item x="20"/>
        <item x="9"/>
        <item x="11"/>
        <item x="15"/>
        <item x="6"/>
        <item x="14"/>
        <item x="12"/>
        <item x="16"/>
      </items>
      <autoSortScope>
        <pivotArea dataOnly="0" outline="0" fieldPosition="0">
          <references count="1">
            <reference field="4294967294" count="1" selected="0">
              <x v="0"/>
            </reference>
          </references>
        </pivotArea>
      </autoSortScope>
    </pivotField>
  </pivotFields>
  <rowFields count="1">
    <field x="2"/>
  </rowFields>
  <rowItems count="23">
    <i>
      <x v="11"/>
    </i>
    <i>
      <x v="4"/>
    </i>
    <i>
      <x v="8"/>
    </i>
    <i>
      <x v="12"/>
    </i>
    <i>
      <x v="10"/>
    </i>
    <i>
      <x v="3"/>
    </i>
    <i>
      <x v="1"/>
    </i>
    <i>
      <x v="17"/>
    </i>
    <i>
      <x v="13"/>
    </i>
    <i>
      <x v="9"/>
    </i>
    <i>
      <x v="16"/>
    </i>
    <i>
      <x v="20"/>
    </i>
    <i>
      <x v="21"/>
    </i>
    <i>
      <x v="14"/>
    </i>
    <i>
      <x v="19"/>
    </i>
    <i>
      <x v="18"/>
    </i>
    <i>
      <x v="2"/>
    </i>
    <i>
      <x v="7"/>
    </i>
    <i>
      <x v="5"/>
    </i>
    <i>
      <x v="6"/>
    </i>
    <i>
      <x v="15"/>
    </i>
    <i>
      <x v="22"/>
    </i>
    <i>
      <x/>
    </i>
  </rowItems>
  <colItems count="1">
    <i/>
  </colItems>
  <dataFields count="1">
    <dataField name="Count of Role Type" fld="0" subtotal="count" baseField="0" baseItem="0"/>
  </dataFields>
  <chartFormats count="1">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40C8D8F-944F-4C37-A9EE-F12673129A23}" name="PivotTable3" cacheId="3"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4">
  <location ref="E1:G24" firstHeaderRow="0" firstDataRow="1" firstDataCol="1"/>
  <pivotFields count="4">
    <pivotField axis="axisRow" showAll="0">
      <items count="24">
        <item x="19"/>
        <item x="7"/>
        <item x="17"/>
        <item x="5"/>
        <item x="1"/>
        <item x="21"/>
        <item x="22"/>
        <item x="18"/>
        <item x="8"/>
        <item x="3"/>
        <item x="10"/>
        <item x="2"/>
        <item x="0"/>
        <item x="4"/>
        <item x="13"/>
        <item x="20"/>
        <item x="9"/>
        <item x="11"/>
        <item x="15"/>
        <item x="6"/>
        <item x="14"/>
        <item x="12"/>
        <item x="16"/>
        <item t="default"/>
      </items>
    </pivotField>
    <pivotField showAll="0"/>
    <pivotField dataField="1" showAll="0"/>
    <pivotField dataField="1" showAll="0"/>
  </pivotFields>
  <rowFields count="1">
    <field x="0"/>
  </rowFields>
  <rowItems count="23">
    <i>
      <x/>
    </i>
    <i>
      <x v="1"/>
    </i>
    <i>
      <x v="2"/>
    </i>
    <i>
      <x v="3"/>
    </i>
    <i>
      <x v="4"/>
    </i>
    <i>
      <x v="5"/>
    </i>
    <i>
      <x v="6"/>
    </i>
    <i>
      <x v="7"/>
    </i>
    <i>
      <x v="8"/>
    </i>
    <i>
      <x v="9"/>
    </i>
    <i>
      <x v="10"/>
    </i>
    <i>
      <x v="11"/>
    </i>
    <i>
      <x v="12"/>
    </i>
    <i>
      <x v="13"/>
    </i>
    <i>
      <x v="14"/>
    </i>
    <i>
      <x v="15"/>
    </i>
    <i>
      <x v="16"/>
    </i>
    <i>
      <x v="17"/>
    </i>
    <i>
      <x v="18"/>
    </i>
    <i>
      <x v="19"/>
    </i>
    <i>
      <x v="20"/>
    </i>
    <i>
      <x v="21"/>
    </i>
    <i>
      <x v="22"/>
    </i>
  </rowItems>
  <colFields count="1">
    <field x="-2"/>
  </colFields>
  <colItems count="2">
    <i>
      <x/>
    </i>
    <i i="1">
      <x v="1"/>
    </i>
  </colItems>
  <dataFields count="2">
    <dataField name="Sum of Avg Min Sal" fld="2" baseField="0" baseItem="0"/>
    <dataField name="Sum of Avg Max Sal" fld="3" baseField="0" baseItem="0"/>
  </dataFields>
  <formats count="1">
    <format dxfId="8">
      <pivotArea outline="0" collapsedLevelsAreSubtotals="1" fieldPosition="0"/>
    </format>
  </formats>
  <chartFormats count="2">
    <chartFormat chart="10" format="4" series="1">
      <pivotArea type="data" outline="0" fieldPosition="0">
        <references count="1">
          <reference field="4294967294" count="1" selected="0">
            <x v="0"/>
          </reference>
        </references>
      </pivotArea>
    </chartFormat>
    <chartFormat chart="10"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5" connectionId="7" xr16:uid="{1EC374FA-67E3-4667-A116-0F60C447C04A}"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connectionId="5" xr16:uid="{7B1A9C54-0EDD-4716-8172-C82698AEE57B}" autoFormatId="16" applyNumberFormats="0" applyBorderFormats="0" applyFontFormats="0" applyPatternFormats="0" applyAlignmentFormats="0" applyWidthHeightFormats="0">
  <queryTableRefresh nextId="5">
    <queryTableFields count="4">
      <queryTableField id="1" name="Full State Name" tableColumnId="1"/>
      <queryTableField id="2" name="Count" tableColumnId="2"/>
      <queryTableField id="3" name="Min Sal Avg" tableColumnId="3"/>
      <queryTableField id="4" name="Max Sal Avg" tableColumnId="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3" connectionId="3" xr16:uid="{FDCE3BB9-B51A-4C7C-8693-3BD9446EA4E3}" autoFormatId="16" applyNumberFormats="0" applyBorderFormats="0" applyFontFormats="0" applyPatternFormats="0" applyAlignmentFormats="0" applyWidthHeightFormats="0">
  <queryTableRefresh nextId="5">
    <queryTableFields count="4">
      <queryTableField id="1" name="Role Type" tableColumnId="1"/>
      <queryTableField id="2" name="Count" tableColumnId="2"/>
      <queryTableField id="3" name="Min Sal Avg" tableColumnId="3"/>
      <queryTableField id="4" name="Max Sal Avg"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2" xr16:uid="{AFB77BA1-B3D1-4501-B4B0-A5A35E5691D1}" autoFormatId="16" applyNumberFormats="0" applyBorderFormats="0" applyFontFormats="0" applyPatternFormats="0" applyAlignmentFormats="0" applyWidthHeightFormats="0">
  <queryTableRefresh nextId="6">
    <queryTableFields count="5">
      <queryTableField id="1" name="Min Size Company" tableColumnId="1"/>
      <queryTableField id="2" name="Max Size Company" tableColumnId="2"/>
      <queryTableField id="3" name="Count" tableColumnId="3"/>
      <queryTableField id="4" name="Min Sal Avg" tableColumnId="4"/>
      <queryTableField id="5" name="Max Sal Avg" tableColumnId="5"/>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4" xr16:uid="{6C1AC391-FC66-4F7B-8462-AE01CCDE2ACC}" autoFormatId="16" applyNumberFormats="0" applyBorderFormats="0" applyFontFormats="0" applyPatternFormats="0" applyAlignmentFormats="0" applyWidthHeightFormats="0">
  <queryTableRefresh nextId="5">
    <queryTableFields count="4">
      <queryTableField id="1" name="Sector" tableColumnId="1"/>
      <queryTableField id="2" name="Count" tableColumnId="2"/>
      <queryTableField id="3" name="Avg Min Sal" tableColumnId="3"/>
      <queryTableField id="4" name="Avg Max Sal" tableColumnId="4"/>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6" xr16:uid="{64B446D7-0677-49D1-90F6-7F68E4802197}" autoFormatId="16" applyNumberFormats="0" applyBorderFormats="0" applyFontFormats="0" applyPatternFormats="0" applyAlignmentFormats="0" applyWidthHeightFormats="0">
  <queryTableRefresh nextId="4">
    <queryTableFields count="3">
      <queryTableField id="1" name="Role Type" tableColumnId="1"/>
      <queryTableField id="2" name="Type of ownership" tableColumnId="2"/>
      <queryTableField id="3" name="Sector"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1" xr16:uid="{9A76636C-DFCD-44F1-95E4-93001C31FD25}" autoFormatId="16" applyNumberFormats="0" applyBorderFormats="0" applyFontFormats="0" applyPatternFormats="0" applyAlignmentFormats="0" applyWidthHeightFormats="0">
  <queryTableRefresh nextId="19">
    <queryTableFields count="18">
      <queryTableField id="1" name="index" tableColumnId="1"/>
      <queryTableField id="2" name="Role Type" tableColumnId="2"/>
      <queryTableField id="3" name="Min Salary" tableColumnId="3"/>
      <queryTableField id="4" name="Max Salary" tableColumnId="4"/>
      <queryTableField id="5" name="Rating" tableColumnId="5"/>
      <queryTableField id="6" name="Company Name" tableColumnId="6"/>
      <queryTableField id="7" name="Location" tableColumnId="7"/>
      <queryTableField id="8" name="State Abbreviations" tableColumnId="8"/>
      <queryTableField id="9" name="Full State Name" tableColumnId="9"/>
      <queryTableField id="10" name="Headquarters" tableColumnId="10"/>
      <queryTableField id="11" name="Min Size Company" tableColumnId="11"/>
      <queryTableField id="12" name="Max Size Company" tableColumnId="12"/>
      <queryTableField id="13" name="Founded" tableColumnId="13"/>
      <queryTableField id="14" name="Type of ownership" tableColumnId="14"/>
      <queryTableField id="15" name="Industry" tableColumnId="15"/>
      <queryTableField id="16" name="Sector" tableColumnId="16"/>
      <queryTableField id="17" name="Revenue" tableColumnId="17"/>
      <queryTableField id="18" name="Competitors" tableColumnId="1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ole_Type" xr10:uid="{BC54D237-0497-4BD7-9BCF-355999D2900B}" sourceName="Role Type">
  <pivotTables>
    <pivotTable tabId="7" name="PivotTable1"/>
  </pivotTables>
  <data>
    <tabular pivotCacheId="336526667">
      <items count="5">
        <i x="2" s="1"/>
        <i x="3" s="1"/>
        <i x="0" s="1"/>
        <i x="4"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bine" xr10:uid="{708C7330-E997-4249-8AAD-C0528765186B}" sourceName="Combine">
  <pivotTables>
    <pivotTable tabId="7" name="PivotTable5"/>
  </pivotTables>
  <data>
    <tabular pivotCacheId="425444016">
      <items count="8">
        <i x="5" s="1"/>
        <i x="0" s="1"/>
        <i x="4" s="1"/>
        <i x="6" s="1"/>
        <i x="2" s="1"/>
        <i x="3" s="1"/>
        <i x="1" s="1"/>
        <i x="7"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ll_State_Name" xr10:uid="{A8073768-FE99-4C42-8AF0-AC7AD16CB4C3}" sourceName="Full State Name">
  <pivotTables>
    <pivotTable tabId="7" name="PivotTable7"/>
  </pivotTables>
  <data>
    <tabular pivotCacheId="421846515">
      <items count="39">
        <i x="30" s="1"/>
        <i x="3" s="1"/>
        <i x="4" s="1"/>
        <i x="24" s="1"/>
        <i x="35" s="1"/>
        <i x="37" s="1"/>
        <i x="5" s="1"/>
        <i x="7" s="1"/>
        <i x="8" s="1"/>
        <i x="6" s="1"/>
        <i x="22" s="1"/>
        <i x="32" s="1"/>
        <i x="12" s="1"/>
        <i x="20" s="1"/>
        <i x="23" s="1"/>
        <i x="2" s="1"/>
        <i x="27" s="1"/>
        <i x="33" s="1"/>
        <i x="29" s="1"/>
        <i x="9" s="1"/>
        <i x="17" s="1"/>
        <i x="18" s="1"/>
        <i x="19" s="1"/>
        <i x="0" s="1"/>
        <i x="36" s="1"/>
        <i x="21" s="1"/>
        <i x="34" s="1"/>
        <i x="26" s="1"/>
        <i x="11" s="1"/>
        <i x="15" s="1"/>
        <i x="31" s="1"/>
        <i x="28" s="1"/>
        <i x="13" s="1"/>
        <i x="14" s="1"/>
        <i x="25" s="1"/>
        <i x="1" s="1"/>
        <i x="10" s="1"/>
        <i x="38" s="1"/>
        <i x="16"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ctor" xr10:uid="{8555C753-25F7-47A2-9C02-B7387E89088A}" sourceName="Sector">
  <pivotTables>
    <pivotTable tabId="7" name="PivotTable3"/>
  </pivotTables>
  <data>
    <tabular pivotCacheId="822366551">
      <items count="23">
        <i x="19" s="1"/>
        <i x="7" s="1"/>
        <i x="17" s="1"/>
        <i x="5" s="1"/>
        <i x="1" s="1"/>
        <i x="21" s="1"/>
        <i x="22" s="1"/>
        <i x="18" s="1"/>
        <i x="8" s="1"/>
        <i x="3" s="1"/>
        <i x="10" s="1"/>
        <i x="2" s="1"/>
        <i x="0" s="1"/>
        <i x="4" s="1"/>
        <i x="13" s="1"/>
        <i x="20" s="1"/>
        <i x="9" s="1"/>
        <i x="11" s="1"/>
        <i x="15" s="1"/>
        <i x="6" s="1"/>
        <i x="14" s="1"/>
        <i x="12" s="1"/>
        <i x="16"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ole Type" xr10:uid="{A518849A-133A-4D26-84D9-EB579C69094C}" cache="Slicer_Role_Type" caption="Role Type" style="SlicerStyleDark3" rowHeight="257175"/>
  <slicer name="Size 1" xr10:uid="{40ADB970-7F1F-4B63-BEA9-3CA07D48ACEA}" cache="Slicer_Combine" caption="Combine" style="SlicerStyleDark3" rowHeight="257175"/>
  <slicer name="Full State Name" xr10:uid="{BC0B9C75-DB4F-4BDD-834E-A5D5EBD661CD}" cache="Slicer_Full_State_Name" caption="Full State Name" style="SlicerStyleDark3" rowHeight="257175"/>
  <slicer name="Sector" xr10:uid="{7383F3B1-F804-492F-8BEC-FFC25F700F81}" cache="Slicer_Sector" caption="Sector" startItem="1" style="SlicerStyleDark3" rowHeight="257175"/>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90BD97D-06AA-411D-98C7-A83003AD951B}" name="States" displayName="States" ref="A1:B53" tableType="queryTable" totalsRowShown="0">
  <autoFilter ref="A1:B53" xr:uid="{490BD97D-06AA-411D-98C7-A83003AD951B}"/>
  <tableColumns count="2">
    <tableColumn id="1" xr3:uid="{54020D0E-8E08-4232-BE63-A3A53001E2B2}" uniqueName="1" name="Column1" queryTableFieldId="1" dataDxfId="26"/>
    <tableColumn id="2" xr3:uid="{2E07467F-C558-4F57-BF2E-F413CA08D433}" uniqueName="2" name="Column2" queryTableFieldId="2" dataDxfId="2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C80C41E-E217-400A-B7B8-2B459ADE22CC}" name="Sal_by_State" displayName="Sal_by_State" ref="A1:D40" tableType="queryTable" totalsRowShown="0">
  <autoFilter ref="A1:D40" xr:uid="{4C80C41E-E217-400A-B7B8-2B459ADE22CC}"/>
  <tableColumns count="4">
    <tableColumn id="1" xr3:uid="{83E7EA94-B093-4001-B268-85B5E7DC8EA3}" uniqueName="1" name="Full State Name" queryTableFieldId="1" dataDxfId="24"/>
    <tableColumn id="2" xr3:uid="{0756C3AD-7857-43A0-B9DA-98B531258563}" uniqueName="2" name="Count" queryTableFieldId="2"/>
    <tableColumn id="3" xr3:uid="{26C21A57-5491-446D-BB63-09225A41E69A}" uniqueName="3" name="Min Sal Avg" queryTableFieldId="3"/>
    <tableColumn id="4" xr3:uid="{FDE8A7B9-E68E-4227-B91A-265AD741D384}" uniqueName="4" name="Max Sal Avg" queryTableFieldId="4"/>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C6B47AC-02B9-4C06-A9BF-D2A01A294487}" name="Sal_By_Role_Type" displayName="Sal_By_Role_Type" ref="A1:D6" tableType="queryTable" totalsRowShown="0">
  <autoFilter ref="A1:D6" xr:uid="{1C6B47AC-02B9-4C06-A9BF-D2A01A294487}"/>
  <tableColumns count="4">
    <tableColumn id="1" xr3:uid="{7B52AAD0-90A5-4A5D-953C-B0B79A90CDCD}" uniqueName="1" name="Role Type" queryTableFieldId="1" dataDxfId="23"/>
    <tableColumn id="2" xr3:uid="{34F5E7F1-5159-4419-BAEA-9B763D484422}" uniqueName="2" name="Count" queryTableFieldId="2"/>
    <tableColumn id="3" xr3:uid="{67FD2601-DEF0-4032-8DE7-2416D44C9106}" uniqueName="3" name="Min Sal Avg" queryTableFieldId="3"/>
    <tableColumn id="4" xr3:uid="{C049E2C5-D54C-4773-8AAF-B73801325A26}" uniqueName="4" name="Max Sal Avg" queryTableFieldId="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60AAC21-4C45-4472-A193-3E5870B3A615}" name="Sal_by_Role_Size" displayName="Sal_by_Role_Size" ref="B1:F9" tableType="queryTable" totalsRowShown="0">
  <autoFilter ref="B1:F9" xr:uid="{760AAC21-4C45-4472-A193-3E5870B3A615}"/>
  <tableColumns count="5">
    <tableColumn id="1" xr3:uid="{A26E3BB6-1EE4-4949-89E1-33FD9FF617B0}" uniqueName="1" name="Min Size Company" queryTableFieldId="1" dataDxfId="22"/>
    <tableColumn id="2" xr3:uid="{3B81C278-1873-4DE9-BD1B-A7878D090576}" uniqueName="2" name="Max Size Company" queryTableFieldId="2"/>
    <tableColumn id="3" xr3:uid="{20EEA86F-AC79-42D2-8110-3BE91856BCC8}" uniqueName="3" name="Count" queryTableFieldId="3"/>
    <tableColumn id="4" xr3:uid="{E8630303-99F3-403F-91E6-3711713678A5}" uniqueName="4" name="Min Sal Avg" queryTableFieldId="4"/>
    <tableColumn id="5" xr3:uid="{D0B76E93-80DA-4C85-B474-65509086DF83}" uniqueName="5" name="Max Sal Avg" queryTableFieldId="5"/>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C68C72F-0C0B-4DD5-9AC5-3CAAFE06DD63}" name="Sal_by_Sector" displayName="Sal_by_Sector" ref="A1:D24" tableType="queryTable" totalsRowShown="0">
  <autoFilter ref="A1:D24" xr:uid="{3C68C72F-0C0B-4DD5-9AC5-3CAAFE06DD63}"/>
  <tableColumns count="4">
    <tableColumn id="1" xr3:uid="{5DBAB720-64BA-4D1D-883A-A935E07FF16D}" uniqueName="1" name="Sector" queryTableFieldId="1"/>
    <tableColumn id="2" xr3:uid="{C42202CE-FF94-4AF5-A237-3ABF319B264B}" uniqueName="2" name="Count" queryTableFieldId="2"/>
    <tableColumn id="3" xr3:uid="{D8E72D64-ACCA-4388-AE9E-251CCAD329AB}" uniqueName="3" name="Avg Min Sal" queryTableFieldId="3"/>
    <tableColumn id="4" xr3:uid="{661F4AD8-42B0-4921-A3EB-B5E3FC38D6CA}" uniqueName="4" name="Avg Max Sal" queryTableField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2509268-3C54-4BF5-8C1F-00FE72B07FD2}" name="Sector_Employs" displayName="Sector_Employs" ref="A1:C133" tableType="queryTable" totalsRowShown="0">
  <autoFilter ref="A1:C133" xr:uid="{52509268-3C54-4BF5-8C1F-00FE72B07FD2}"/>
  <tableColumns count="3">
    <tableColumn id="1" xr3:uid="{DD0CFD65-C237-420C-984A-8389F2A9D486}" uniqueName="1" name="Role Type" queryTableFieldId="1" dataDxfId="21"/>
    <tableColumn id="2" xr3:uid="{41009C44-2E11-4C50-B694-7B3DD3571545}" uniqueName="2" name="Type of ownership" queryTableFieldId="2" dataDxfId="20"/>
    <tableColumn id="3" xr3:uid="{4DA999E5-283E-490E-9BFC-0BB275497446}" uniqueName="3" name="Sector" queryTableFieldId="3"/>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A4F3031-EA40-4769-BDD4-188611CE1371}" name="Cleaned_Data" displayName="Cleaned_Data" ref="A1:R646" tableType="queryTable" totalsRowShown="0">
  <autoFilter ref="A1:R646" xr:uid="{EA4F3031-EA40-4769-BDD4-188611CE1371}"/>
  <tableColumns count="18">
    <tableColumn id="1" xr3:uid="{8745CED4-628E-4B21-AF84-4EE94F934376}" uniqueName="1" name="index" queryTableFieldId="1"/>
    <tableColumn id="2" xr3:uid="{AABFEDB1-A528-4D47-962B-AA72874E7347}" uniqueName="2" name="Role Type" queryTableFieldId="2" dataDxfId="19"/>
    <tableColumn id="3" xr3:uid="{79471B47-C734-4C48-859C-611666ABE5A2}" uniqueName="3" name="Min Salary" queryTableFieldId="3"/>
    <tableColumn id="4" xr3:uid="{2203BCD4-DEC4-40CD-B545-6D293B1A88D6}" uniqueName="4" name="Max Salary" queryTableFieldId="4"/>
    <tableColumn id="5" xr3:uid="{E7137835-D218-45C8-8413-6549B57B17FE}" uniqueName="5" name="Rating" queryTableFieldId="5"/>
    <tableColumn id="6" xr3:uid="{E1ACC16A-2F24-441B-A2BD-0D768C55E102}" uniqueName="6" name="Company Name" queryTableFieldId="6" dataDxfId="18"/>
    <tableColumn id="7" xr3:uid="{7648C139-1153-44B3-919A-F131DB5695C2}" uniqueName="7" name="Location" queryTableFieldId="7" dataDxfId="17"/>
    <tableColumn id="8" xr3:uid="{50668B7E-DCB7-4674-9E22-ECBD4DE3CC03}" uniqueName="8" name="State Abbreviations" queryTableFieldId="8" dataDxfId="16"/>
    <tableColumn id="9" xr3:uid="{BCBD4655-68A7-42A7-A61E-B8332CF3AA94}" uniqueName="9" name="Full State Name" queryTableFieldId="9" dataDxfId="15"/>
    <tableColumn id="10" xr3:uid="{E0D09FF8-475C-4AC9-8245-413BC57F796C}" uniqueName="10" name="Headquarters" queryTableFieldId="10" dataDxfId="14"/>
    <tableColumn id="11" xr3:uid="{4AB43FD2-871F-49DF-BB3E-5A8FFABA0748}" uniqueName="11" name="Min Size Company" queryTableFieldId="11" dataDxfId="13"/>
    <tableColumn id="12" xr3:uid="{FCE9EF4E-A3CD-412A-A569-01C2CDD71958}" uniqueName="12" name="Max Size Company" queryTableFieldId="12"/>
    <tableColumn id="13" xr3:uid="{AD03BB80-0F8E-40B9-BB99-51D195B91756}" uniqueName="13" name="Founded" queryTableFieldId="13"/>
    <tableColumn id="14" xr3:uid="{6DA887DC-A279-43D7-9270-7F0FEB8FFD89}" uniqueName="14" name="Type of ownership" queryTableFieldId="14" dataDxfId="12"/>
    <tableColumn id="15" xr3:uid="{076DA728-F154-430A-9FF0-1A76FE51C3BF}" uniqueName="15" name="Industry" queryTableFieldId="15" dataDxfId="11"/>
    <tableColumn id="16" xr3:uid="{8BE027E3-B1FF-4E56-9ACB-F4B7C2F605CF}" uniqueName="16" name="Sector" queryTableFieldId="16"/>
    <tableColumn id="17" xr3:uid="{E91BD801-EC67-479D-8473-8232BF7FC98D}" uniqueName="17" name="Revenue" queryTableFieldId="17" dataDxfId="10"/>
    <tableColumn id="18" xr3:uid="{30AD835C-C61F-4299-9066-8A566FBC0FD3}" uniqueName="18" name="Competitors" queryTableFieldId="18" dataDxfId="9"/>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BAABF70-1A9D-4772-9672-EEEB8F4AE5BD}" name="Data" displayName="Data" ref="L76:N208" totalsRowShown="0" headerRowDxfId="4" dataDxfId="3">
  <autoFilter ref="L76:N208" xr:uid="{8BAABF70-1A9D-4772-9672-EEEB8F4AE5BD}"/>
  <tableColumns count="3">
    <tableColumn id="1" xr3:uid="{53F7C110-E255-4C37-9193-B1EA9F7E85A9}" name="Role Type" dataDxfId="2"/>
    <tableColumn id="2" xr3:uid="{F19C07BD-1E93-474F-9396-7269348C59D6}" name="Type of ownership" dataDxfId="1"/>
    <tableColumn id="3" xr3:uid="{C21371BC-8349-4EAF-8447-40A32D8C56DE}" name="Sector"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8.xml"/><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A085F5-EAD0-4E13-B02D-15CDEDBE6417}">
  <sheetPr codeName="Sheet3"/>
  <dimension ref="A1:B53"/>
  <sheetViews>
    <sheetView workbookViewId="0"/>
  </sheetViews>
  <sheetFormatPr defaultRowHeight="15"/>
  <cols>
    <col min="1" max="1" width="18.7109375" bestFit="1" customWidth="1"/>
    <col min="2" max="2" width="11.42578125" bestFit="1" customWidth="1"/>
  </cols>
  <sheetData>
    <row r="1" spans="1:2">
      <c r="A1" t="s">
        <v>1159</v>
      </c>
      <c r="B1" t="s">
        <v>1160</v>
      </c>
    </row>
    <row r="2" spans="1:2">
      <c r="A2" t="s">
        <v>1159</v>
      </c>
      <c r="B2" t="s">
        <v>1160</v>
      </c>
    </row>
    <row r="3" spans="1:2">
      <c r="A3" t="s">
        <v>504</v>
      </c>
      <c r="B3" t="s">
        <v>503</v>
      </c>
    </row>
    <row r="4" spans="1:2">
      <c r="A4" t="s">
        <v>1161</v>
      </c>
      <c r="B4" t="s">
        <v>1162</v>
      </c>
    </row>
    <row r="5" spans="1:2">
      <c r="A5" t="s">
        <v>1163</v>
      </c>
      <c r="B5" t="s">
        <v>1164</v>
      </c>
    </row>
    <row r="6" spans="1:2">
      <c r="A6" t="s">
        <v>116</v>
      </c>
      <c r="B6" t="s">
        <v>115</v>
      </c>
    </row>
    <row r="7" spans="1:2">
      <c r="A7" t="s">
        <v>121</v>
      </c>
      <c r="B7" t="s">
        <v>120</v>
      </c>
    </row>
    <row r="8" spans="1:2">
      <c r="A8" t="s">
        <v>343</v>
      </c>
      <c r="B8" t="s">
        <v>342</v>
      </c>
    </row>
    <row r="9" spans="1:2">
      <c r="A9" t="s">
        <v>609</v>
      </c>
      <c r="B9" t="s">
        <v>608</v>
      </c>
    </row>
    <row r="10" spans="1:2">
      <c r="A10" t="s">
        <v>1014</v>
      </c>
      <c r="B10" t="s">
        <v>1013</v>
      </c>
    </row>
    <row r="11" spans="1:2">
      <c r="A11" t="s">
        <v>147</v>
      </c>
      <c r="B11" t="s">
        <v>146</v>
      </c>
    </row>
    <row r="12" spans="1:2">
      <c r="A12" t="s">
        <v>164</v>
      </c>
      <c r="B12" t="s">
        <v>163</v>
      </c>
    </row>
    <row r="13" spans="1:2">
      <c r="A13" t="s">
        <v>169</v>
      </c>
      <c r="B13" t="s">
        <v>168</v>
      </c>
    </row>
    <row r="14" spans="1:2">
      <c r="A14" t="s">
        <v>1165</v>
      </c>
      <c r="B14" t="s">
        <v>1166</v>
      </c>
    </row>
    <row r="15" spans="1:2">
      <c r="A15" t="s">
        <v>1167</v>
      </c>
      <c r="B15" t="s">
        <v>1168</v>
      </c>
    </row>
    <row r="16" spans="1:2">
      <c r="A16" t="s">
        <v>154</v>
      </c>
      <c r="B16" t="s">
        <v>153</v>
      </c>
    </row>
    <row r="17" spans="1:2">
      <c r="A17" t="s">
        <v>274</v>
      </c>
      <c r="B17" t="s">
        <v>273</v>
      </c>
    </row>
    <row r="18" spans="1:2">
      <c r="A18" t="s">
        <v>565</v>
      </c>
      <c r="B18" t="s">
        <v>564</v>
      </c>
    </row>
    <row r="19" spans="1:2">
      <c r="A19" t="s">
        <v>203</v>
      </c>
      <c r="B19" t="s">
        <v>202</v>
      </c>
    </row>
    <row r="20" spans="1:2">
      <c r="A20" t="s">
        <v>1169</v>
      </c>
      <c r="B20" t="s">
        <v>1170</v>
      </c>
    </row>
    <row r="21" spans="1:2">
      <c r="A21" t="s">
        <v>255</v>
      </c>
      <c r="B21" t="s">
        <v>254</v>
      </c>
    </row>
    <row r="22" spans="1:2">
      <c r="A22" t="s">
        <v>1171</v>
      </c>
      <c r="B22" t="s">
        <v>1172</v>
      </c>
    </row>
    <row r="23" spans="1:2">
      <c r="A23" t="s">
        <v>332</v>
      </c>
      <c r="B23" t="s">
        <v>331</v>
      </c>
    </row>
    <row r="24" spans="1:2">
      <c r="A24" t="s">
        <v>72</v>
      </c>
      <c r="B24" t="s">
        <v>71</v>
      </c>
    </row>
    <row r="25" spans="1:2">
      <c r="A25" t="s">
        <v>467</v>
      </c>
      <c r="B25" t="s">
        <v>466</v>
      </c>
    </row>
    <row r="26" spans="1:2">
      <c r="A26" t="s">
        <v>579</v>
      </c>
      <c r="B26" t="s">
        <v>578</v>
      </c>
    </row>
    <row r="27" spans="1:2">
      <c r="A27" t="s">
        <v>495</v>
      </c>
      <c r="B27" t="s">
        <v>494</v>
      </c>
    </row>
    <row r="28" spans="1:2">
      <c r="A28" t="s">
        <v>174</v>
      </c>
      <c r="B28" t="s">
        <v>173</v>
      </c>
    </row>
    <row r="29" spans="1:2">
      <c r="A29" t="s">
        <v>1173</v>
      </c>
      <c r="B29" t="s">
        <v>1174</v>
      </c>
    </row>
    <row r="30" spans="1:2">
      <c r="A30" t="s">
        <v>235</v>
      </c>
      <c r="B30" t="s">
        <v>234</v>
      </c>
    </row>
    <row r="31" spans="1:2">
      <c r="A31" t="s">
        <v>1175</v>
      </c>
      <c r="B31" t="s">
        <v>1176</v>
      </c>
    </row>
    <row r="32" spans="1:2">
      <c r="A32" t="s">
        <v>240</v>
      </c>
      <c r="B32" t="s">
        <v>239</v>
      </c>
    </row>
    <row r="33" spans="1:2">
      <c r="A33" t="s">
        <v>245</v>
      </c>
      <c r="B33" t="s">
        <v>244</v>
      </c>
    </row>
    <row r="34" spans="1:2">
      <c r="A34" t="s">
        <v>1177</v>
      </c>
      <c r="B34" t="s">
        <v>1178</v>
      </c>
    </row>
    <row r="35" spans="1:2">
      <c r="A35" t="s">
        <v>20</v>
      </c>
      <c r="B35" t="s">
        <v>21</v>
      </c>
    </row>
    <row r="36" spans="1:2">
      <c r="A36" t="s">
        <v>626</v>
      </c>
      <c r="B36" t="s">
        <v>625</v>
      </c>
    </row>
    <row r="37" spans="1:2">
      <c r="A37" t="s">
        <v>1179</v>
      </c>
      <c r="B37" t="s">
        <v>1180</v>
      </c>
    </row>
    <row r="38" spans="1:2">
      <c r="A38" t="s">
        <v>260</v>
      </c>
      <c r="B38" t="s">
        <v>259</v>
      </c>
    </row>
    <row r="39" spans="1:2">
      <c r="A39" t="s">
        <v>585</v>
      </c>
      <c r="B39" t="s">
        <v>584</v>
      </c>
    </row>
    <row r="40" spans="1:2">
      <c r="A40" t="s">
        <v>442</v>
      </c>
      <c r="B40" t="s">
        <v>441</v>
      </c>
    </row>
    <row r="41" spans="1:2">
      <c r="A41" t="s">
        <v>222</v>
      </c>
      <c r="B41" t="s">
        <v>221</v>
      </c>
    </row>
    <row r="42" spans="1:2">
      <c r="A42" t="s">
        <v>561</v>
      </c>
      <c r="B42" t="s">
        <v>560</v>
      </c>
    </row>
    <row r="43" spans="1:2">
      <c r="A43" t="s">
        <v>481</v>
      </c>
      <c r="B43" t="s">
        <v>480</v>
      </c>
    </row>
    <row r="44" spans="1:2">
      <c r="A44" t="s">
        <v>1181</v>
      </c>
      <c r="B44" t="s">
        <v>1182</v>
      </c>
    </row>
    <row r="45" spans="1:2">
      <c r="A45" t="s">
        <v>210</v>
      </c>
      <c r="B45" t="s">
        <v>209</v>
      </c>
    </row>
    <row r="46" spans="1:2">
      <c r="A46" t="s">
        <v>215</v>
      </c>
      <c r="B46" t="s">
        <v>214</v>
      </c>
    </row>
    <row r="47" spans="1:2">
      <c r="A47" t="s">
        <v>363</v>
      </c>
      <c r="B47" t="s">
        <v>362</v>
      </c>
    </row>
    <row r="48" spans="1:2">
      <c r="A48" t="s">
        <v>1183</v>
      </c>
      <c r="B48" t="s">
        <v>1184</v>
      </c>
    </row>
    <row r="49" spans="1:2">
      <c r="A49" t="s">
        <v>47</v>
      </c>
      <c r="B49" t="s">
        <v>46</v>
      </c>
    </row>
    <row r="50" spans="1:2">
      <c r="A50" t="s">
        <v>145</v>
      </c>
      <c r="B50" t="s">
        <v>179</v>
      </c>
    </row>
    <row r="51" spans="1:2">
      <c r="A51" t="s">
        <v>1123</v>
      </c>
      <c r="B51" t="s">
        <v>1122</v>
      </c>
    </row>
    <row r="52" spans="1:2">
      <c r="A52" t="s">
        <v>227</v>
      </c>
      <c r="B52" t="s">
        <v>226</v>
      </c>
    </row>
    <row r="53" spans="1:2">
      <c r="A53" t="s">
        <v>1185</v>
      </c>
      <c r="B53" t="s">
        <v>1186</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236F8-821E-4DA8-8D92-9B4C12EF8C75}">
  <sheetPr codeName="Sheet4"/>
  <dimension ref="A1:D40"/>
  <sheetViews>
    <sheetView workbookViewId="0">
      <selection activeCell="V27" sqref="V27"/>
    </sheetView>
  </sheetViews>
  <sheetFormatPr defaultRowHeight="15"/>
  <cols>
    <col min="1" max="1" width="18.7109375" bestFit="1" customWidth="1"/>
    <col min="2" max="2" width="8.85546875" bestFit="1" customWidth="1"/>
    <col min="3" max="3" width="13.28515625" bestFit="1" customWidth="1"/>
    <col min="4" max="4" width="13.5703125" bestFit="1" customWidth="1"/>
  </cols>
  <sheetData>
    <row r="1" spans="1:4">
      <c r="A1" t="s">
        <v>8</v>
      </c>
      <c r="B1" t="s">
        <v>1156</v>
      </c>
      <c r="C1" t="s">
        <v>1157</v>
      </c>
      <c r="D1" t="s">
        <v>1158</v>
      </c>
    </row>
    <row r="2" spans="1:4">
      <c r="A2" t="s">
        <v>20</v>
      </c>
      <c r="B2">
        <v>51</v>
      </c>
      <c r="C2">
        <v>108196.07843137255</v>
      </c>
      <c r="D2">
        <v>166117.64705882352</v>
      </c>
    </row>
    <row r="3" spans="1:4">
      <c r="A3" t="s">
        <v>47</v>
      </c>
      <c r="B3">
        <v>86</v>
      </c>
      <c r="C3">
        <v>102011.62790697673</v>
      </c>
      <c r="D3">
        <v>151965.11627906977</v>
      </c>
    </row>
    <row r="4" spans="1:4">
      <c r="A4" t="s">
        <v>72</v>
      </c>
      <c r="B4">
        <v>61</v>
      </c>
      <c r="C4">
        <v>97475.409836065577</v>
      </c>
      <c r="D4">
        <v>140426.22950819673</v>
      </c>
    </row>
    <row r="5" spans="1:4">
      <c r="A5" t="s">
        <v>116</v>
      </c>
      <c r="B5">
        <v>4</v>
      </c>
      <c r="C5">
        <v>115250</v>
      </c>
      <c r="D5">
        <v>166500</v>
      </c>
    </row>
    <row r="6" spans="1:4">
      <c r="A6" t="s">
        <v>121</v>
      </c>
      <c r="B6">
        <v>148</v>
      </c>
      <c r="C6">
        <v>95689.189189189186</v>
      </c>
      <c r="D6">
        <v>143729.72972972973</v>
      </c>
    </row>
    <row r="7" spans="1:4">
      <c r="A7" t="s">
        <v>147</v>
      </c>
      <c r="B7">
        <v>26</v>
      </c>
      <c r="C7">
        <v>111346.15384615384</v>
      </c>
      <c r="D7">
        <v>167653.84615384616</v>
      </c>
    </row>
    <row r="8" spans="1:4">
      <c r="A8" t="s">
        <v>154</v>
      </c>
      <c r="B8">
        <v>29</v>
      </c>
      <c r="C8">
        <v>96793.103448275855</v>
      </c>
      <c r="D8">
        <v>143931.03448275861</v>
      </c>
    </row>
    <row r="9" spans="1:4">
      <c r="A9" t="s">
        <v>164</v>
      </c>
      <c r="B9">
        <v>8</v>
      </c>
      <c r="C9">
        <v>96625</v>
      </c>
      <c r="D9">
        <v>140250</v>
      </c>
    </row>
    <row r="10" spans="1:4">
      <c r="A10" t="s">
        <v>169</v>
      </c>
      <c r="B10">
        <v>9</v>
      </c>
      <c r="C10">
        <v>86333.333333333343</v>
      </c>
      <c r="D10">
        <v>133000</v>
      </c>
    </row>
    <row r="11" spans="1:4">
      <c r="A11" t="s">
        <v>174</v>
      </c>
      <c r="B11">
        <v>12</v>
      </c>
      <c r="C11">
        <v>91750</v>
      </c>
      <c r="D11">
        <v>138166.66666666666</v>
      </c>
    </row>
    <row r="12" spans="1:4">
      <c r="A12" t="s">
        <v>145</v>
      </c>
      <c r="B12">
        <v>15</v>
      </c>
      <c r="C12">
        <v>105666.66666666667</v>
      </c>
      <c r="D12">
        <v>163733.33333333334</v>
      </c>
    </row>
    <row r="13" spans="1:4">
      <c r="A13" t="s">
        <v>193</v>
      </c>
      <c r="B13">
        <v>17</v>
      </c>
      <c r="C13">
        <v>96705.882352941175</v>
      </c>
      <c r="D13">
        <v>145176.4705882353</v>
      </c>
    </row>
    <row r="14" spans="1:4">
      <c r="A14" t="s">
        <v>203</v>
      </c>
      <c r="B14">
        <v>1</v>
      </c>
      <c r="C14">
        <v>75000</v>
      </c>
      <c r="D14">
        <v>131000</v>
      </c>
    </row>
    <row r="15" spans="1:4">
      <c r="A15" t="s">
        <v>210</v>
      </c>
      <c r="B15">
        <v>8</v>
      </c>
      <c r="C15">
        <v>81750</v>
      </c>
      <c r="D15">
        <v>122625</v>
      </c>
    </row>
    <row r="16" spans="1:4">
      <c r="A16" t="s">
        <v>215</v>
      </c>
      <c r="B16">
        <v>18</v>
      </c>
      <c r="C16">
        <v>106722.22222222222</v>
      </c>
      <c r="D16">
        <v>161055.55555555556</v>
      </c>
    </row>
    <row r="17" spans="1:4">
      <c r="A17" t="s">
        <v>222</v>
      </c>
      <c r="B17">
        <v>12</v>
      </c>
      <c r="C17">
        <v>97500</v>
      </c>
      <c r="D17">
        <v>154166.66666666666</v>
      </c>
    </row>
    <row r="18" spans="1:4">
      <c r="A18" t="s">
        <v>227</v>
      </c>
      <c r="B18">
        <v>6</v>
      </c>
      <c r="C18">
        <v>115666.66666666667</v>
      </c>
      <c r="D18">
        <v>173166.66666666666</v>
      </c>
    </row>
    <row r="19" spans="1:4">
      <c r="A19" t="s">
        <v>235</v>
      </c>
      <c r="B19">
        <v>2</v>
      </c>
      <c r="C19">
        <v>77000</v>
      </c>
      <c r="D19">
        <v>132000</v>
      </c>
    </row>
    <row r="20" spans="1:4">
      <c r="A20" t="s">
        <v>240</v>
      </c>
      <c r="B20">
        <v>2</v>
      </c>
      <c r="C20">
        <v>99500</v>
      </c>
      <c r="D20">
        <v>164500</v>
      </c>
    </row>
    <row r="21" spans="1:4">
      <c r="A21" t="s">
        <v>245</v>
      </c>
      <c r="B21">
        <v>12</v>
      </c>
      <c r="C21">
        <v>96833.333333333328</v>
      </c>
      <c r="D21">
        <v>144000</v>
      </c>
    </row>
    <row r="22" spans="1:4">
      <c r="A22" t="s">
        <v>255</v>
      </c>
      <c r="B22">
        <v>1</v>
      </c>
      <c r="C22">
        <v>75000</v>
      </c>
      <c r="D22">
        <v>131000</v>
      </c>
    </row>
    <row r="23" spans="1:4">
      <c r="A23" t="s">
        <v>260</v>
      </c>
      <c r="B23">
        <v>14</v>
      </c>
      <c r="C23">
        <v>94571.42857142858</v>
      </c>
      <c r="D23">
        <v>148857.14285714287</v>
      </c>
    </row>
    <row r="24" spans="1:4">
      <c r="A24" t="s">
        <v>274</v>
      </c>
      <c r="B24">
        <v>5</v>
      </c>
      <c r="C24">
        <v>90600</v>
      </c>
      <c r="D24">
        <v>136200</v>
      </c>
    </row>
    <row r="25" spans="1:4">
      <c r="A25" t="s">
        <v>332</v>
      </c>
      <c r="B25">
        <v>39</v>
      </c>
      <c r="C25">
        <v>91282.051282051281</v>
      </c>
      <c r="D25">
        <v>134666.66666666666</v>
      </c>
    </row>
    <row r="26" spans="1:4">
      <c r="A26" t="s">
        <v>343</v>
      </c>
      <c r="B26">
        <v>10</v>
      </c>
      <c r="C26">
        <v>83600</v>
      </c>
      <c r="D26">
        <v>123700</v>
      </c>
    </row>
    <row r="27" spans="1:4">
      <c r="A27" t="s">
        <v>363</v>
      </c>
      <c r="B27">
        <v>5</v>
      </c>
      <c r="C27">
        <v>89000</v>
      </c>
      <c r="D27">
        <v>124400</v>
      </c>
    </row>
    <row r="28" spans="1:4">
      <c r="A28" t="s">
        <v>442</v>
      </c>
      <c r="B28">
        <v>2</v>
      </c>
      <c r="C28">
        <v>109000</v>
      </c>
      <c r="D28">
        <v>155000</v>
      </c>
    </row>
    <row r="29" spans="1:4">
      <c r="A29" t="s">
        <v>467</v>
      </c>
      <c r="B29">
        <v>5</v>
      </c>
      <c r="C29">
        <v>94000</v>
      </c>
      <c r="D29">
        <v>144000</v>
      </c>
    </row>
    <row r="30" spans="1:4">
      <c r="A30" t="s">
        <v>481</v>
      </c>
      <c r="B30">
        <v>2</v>
      </c>
      <c r="C30">
        <v>84500</v>
      </c>
      <c r="D30">
        <v>107500</v>
      </c>
    </row>
    <row r="31" spans="1:4">
      <c r="A31" t="s">
        <v>495</v>
      </c>
      <c r="B31">
        <v>1</v>
      </c>
      <c r="C31">
        <v>101000</v>
      </c>
      <c r="D31">
        <v>165000</v>
      </c>
    </row>
    <row r="32" spans="1:4">
      <c r="A32" t="s">
        <v>504</v>
      </c>
      <c r="B32">
        <v>4</v>
      </c>
      <c r="C32">
        <v>109750</v>
      </c>
      <c r="D32">
        <v>152500</v>
      </c>
    </row>
    <row r="33" spans="1:4">
      <c r="A33" t="s">
        <v>561</v>
      </c>
      <c r="B33">
        <v>2</v>
      </c>
      <c r="C33">
        <v>100500</v>
      </c>
      <c r="D33">
        <v>161000</v>
      </c>
    </row>
    <row r="34" spans="1:4">
      <c r="A34" t="s">
        <v>565</v>
      </c>
      <c r="B34">
        <v>3</v>
      </c>
      <c r="C34">
        <v>108333.33333333334</v>
      </c>
      <c r="D34">
        <v>173333.33333333331</v>
      </c>
    </row>
    <row r="35" spans="1:4">
      <c r="A35" t="s">
        <v>579</v>
      </c>
      <c r="B35">
        <v>4</v>
      </c>
      <c r="C35">
        <v>78000</v>
      </c>
      <c r="D35">
        <v>110000</v>
      </c>
    </row>
    <row r="36" spans="1:4">
      <c r="A36" t="s">
        <v>585</v>
      </c>
      <c r="B36">
        <v>6</v>
      </c>
      <c r="C36">
        <v>100833.33333333333</v>
      </c>
      <c r="D36">
        <v>145000</v>
      </c>
    </row>
    <row r="37" spans="1:4">
      <c r="A37" t="s">
        <v>609</v>
      </c>
      <c r="B37">
        <v>4</v>
      </c>
      <c r="C37">
        <v>79500</v>
      </c>
      <c r="D37">
        <v>116750</v>
      </c>
    </row>
    <row r="38" spans="1:4">
      <c r="A38" t="s">
        <v>626</v>
      </c>
      <c r="B38">
        <v>9</v>
      </c>
      <c r="C38">
        <v>121222.22222222222</v>
      </c>
      <c r="D38">
        <v>179000</v>
      </c>
    </row>
    <row r="39" spans="1:4">
      <c r="A39" t="s">
        <v>1014</v>
      </c>
      <c r="B39">
        <v>1</v>
      </c>
      <c r="C39">
        <v>212000</v>
      </c>
      <c r="D39">
        <v>331000</v>
      </c>
    </row>
    <row r="40" spans="1:4">
      <c r="A40" t="s">
        <v>1123</v>
      </c>
      <c r="B40">
        <v>1</v>
      </c>
      <c r="C40">
        <v>87000</v>
      </c>
      <c r="D40">
        <v>141000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D1B2C-D8BF-48AA-A943-3625A9D98D5B}">
  <sheetPr codeName="Sheet5"/>
  <dimension ref="A1:D6"/>
  <sheetViews>
    <sheetView workbookViewId="0">
      <selection activeCell="V27" sqref="V27"/>
    </sheetView>
  </sheetViews>
  <sheetFormatPr defaultRowHeight="15"/>
  <cols>
    <col min="1" max="1" width="25" bestFit="1" customWidth="1"/>
    <col min="2" max="2" width="8.85546875" bestFit="1" customWidth="1"/>
    <col min="3" max="3" width="13.28515625" bestFit="1" customWidth="1"/>
    <col min="4" max="4" width="13.5703125" bestFit="1" customWidth="1"/>
  </cols>
  <sheetData>
    <row r="1" spans="1:4">
      <c r="A1" t="s">
        <v>1</v>
      </c>
      <c r="B1" t="s">
        <v>1156</v>
      </c>
      <c r="C1" t="s">
        <v>1157</v>
      </c>
      <c r="D1" t="s">
        <v>1158</v>
      </c>
    </row>
    <row r="2" spans="1:4">
      <c r="A2" t="s">
        <v>18</v>
      </c>
      <c r="B2">
        <v>432</v>
      </c>
      <c r="C2">
        <v>99354.166666666657</v>
      </c>
      <c r="D2">
        <v>150967.59259259258</v>
      </c>
    </row>
    <row r="3" spans="1:4">
      <c r="A3" t="s">
        <v>112</v>
      </c>
      <c r="B3">
        <v>84</v>
      </c>
      <c r="C3">
        <v>103928.57142857142</v>
      </c>
      <c r="D3">
        <v>146750</v>
      </c>
    </row>
    <row r="4" spans="1:4">
      <c r="A4" t="s">
        <v>99</v>
      </c>
      <c r="B4">
        <v>47</v>
      </c>
      <c r="C4">
        <v>93531.914893617024</v>
      </c>
      <c r="D4">
        <v>142042.55319148937</v>
      </c>
    </row>
    <row r="5" spans="1:4">
      <c r="A5" t="s">
        <v>195</v>
      </c>
      <c r="B5">
        <v>47</v>
      </c>
      <c r="C5">
        <v>94106.382978723399</v>
      </c>
      <c r="D5">
        <v>133510.63829787233</v>
      </c>
    </row>
    <row r="6" spans="1:4">
      <c r="A6" t="s">
        <v>103</v>
      </c>
      <c r="B6">
        <v>35</v>
      </c>
      <c r="C6">
        <v>92628.57142857142</v>
      </c>
      <c r="D6">
        <v>140942.85714285713</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2190E2-C1B0-45F7-8CEF-E6E4BC668DDA}">
  <sheetPr codeName="Sheet6"/>
  <dimension ref="A1:F9"/>
  <sheetViews>
    <sheetView workbookViewId="0">
      <selection activeCell="V27" sqref="V27"/>
    </sheetView>
  </sheetViews>
  <sheetFormatPr defaultRowHeight="15"/>
  <cols>
    <col min="1" max="1" width="10.7109375" bestFit="1" customWidth="1"/>
    <col min="2" max="2" width="20" bestFit="1" customWidth="1"/>
    <col min="3" max="3" width="20.28515625" bestFit="1" customWidth="1"/>
    <col min="4" max="4" width="8.85546875" bestFit="1" customWidth="1"/>
    <col min="5" max="5" width="13.28515625" bestFit="1" customWidth="1"/>
    <col min="6" max="6" width="13.5703125" bestFit="1" customWidth="1"/>
  </cols>
  <sheetData>
    <row r="1" spans="1:6">
      <c r="A1" s="4" t="s">
        <v>1192</v>
      </c>
      <c r="B1" t="s">
        <v>10</v>
      </c>
      <c r="C1" t="s">
        <v>11</v>
      </c>
      <c r="D1" t="s">
        <v>1156</v>
      </c>
      <c r="E1" t="s">
        <v>1157</v>
      </c>
      <c r="F1" t="s">
        <v>1158</v>
      </c>
    </row>
    <row r="2" spans="1:6">
      <c r="A2" s="5" t="str">
        <f>_xlfn.TEXTJOIN("-",,Sal_by_Role_Size[[#This Row],[Min Size Company]],Sal_by_Role_Size[[#This Row],[Max Size Company]])</f>
        <v>1001-5000</v>
      </c>
      <c r="B2" t="s">
        <v>23</v>
      </c>
      <c r="C2">
        <v>5000</v>
      </c>
      <c r="D2">
        <v>104</v>
      </c>
      <c r="E2">
        <v>97403.846153846156</v>
      </c>
      <c r="F2">
        <v>146105.76923076922</v>
      </c>
    </row>
    <row r="3" spans="1:6">
      <c r="A3" s="6" t="str">
        <f>_xlfn.TEXTJOIN("-",,Sal_by_Role_Size[[#This Row],[Min Size Company]],Sal_by_Role_Size[[#This Row],[Max Size Company]])</f>
        <v>51-200</v>
      </c>
      <c r="B3" t="s">
        <v>30</v>
      </c>
      <c r="C3">
        <v>200</v>
      </c>
      <c r="D3">
        <v>135</v>
      </c>
      <c r="E3">
        <v>103429.62962962964</v>
      </c>
      <c r="F3">
        <v>151414.8148148148</v>
      </c>
    </row>
    <row r="4" spans="1:6">
      <c r="A4" s="5" t="str">
        <f>_xlfn.TEXTJOIN("-",,Sal_by_Role_Size[[#This Row],[Min Size Company]],Sal_by_Role_Size[[#This Row],[Max Size Company]])</f>
        <v>5001-10000</v>
      </c>
      <c r="B4" t="s">
        <v>49</v>
      </c>
      <c r="C4">
        <v>10000</v>
      </c>
      <c r="D4">
        <v>61</v>
      </c>
      <c r="E4">
        <v>103721.31147540984</v>
      </c>
      <c r="F4">
        <v>149606.55737704918</v>
      </c>
    </row>
    <row r="5" spans="1:6">
      <c r="A5" s="6" t="str">
        <f>_xlfn.TEXTJOIN("-",,Sal_by_Role_Size[[#This Row],[Min Size Company]],Sal_by_Role_Size[[#This Row],[Max Size Company]])</f>
        <v>501-1000</v>
      </c>
      <c r="B5" t="s">
        <v>56</v>
      </c>
      <c r="C5">
        <v>1000</v>
      </c>
      <c r="D5">
        <v>77</v>
      </c>
      <c r="E5">
        <v>95467.532467532466</v>
      </c>
      <c r="F5">
        <v>146402.5974025974</v>
      </c>
    </row>
    <row r="6" spans="1:6">
      <c r="A6" s="5" t="str">
        <f>_xlfn.TEXTJOIN("-",,Sal_by_Role_Size[[#This Row],[Min Size Company]],Sal_by_Role_Size[[#This Row],[Max Size Company]])</f>
        <v>1-50</v>
      </c>
      <c r="B6" t="s">
        <v>67</v>
      </c>
      <c r="C6">
        <v>50</v>
      </c>
      <c r="D6">
        <v>86</v>
      </c>
      <c r="E6">
        <v>95348.837209302321</v>
      </c>
      <c r="F6">
        <v>144627.90697674418</v>
      </c>
    </row>
    <row r="7" spans="1:6">
      <c r="A7" s="6" t="str">
        <f>_xlfn.TEXTJOIN("-",,Sal_by_Role_Size[[#This Row],[Min Size Company]],Sal_by_Role_Size[[#This Row],[Max Size Company]])</f>
        <v>10000+</v>
      </c>
      <c r="B7" t="s">
        <v>85</v>
      </c>
      <c r="D7">
        <v>80</v>
      </c>
      <c r="E7">
        <v>97412.5</v>
      </c>
      <c r="F7">
        <v>147550</v>
      </c>
    </row>
    <row r="8" spans="1:6">
      <c r="A8" s="5" t="str">
        <f>_xlfn.TEXTJOIN("-",,Sal_by_Role_Size[[#This Row],[Min Size Company]],Sal_by_Role_Size[[#This Row],[Max Size Company]])</f>
        <v>201-500</v>
      </c>
      <c r="B8" t="s">
        <v>106</v>
      </c>
      <c r="C8">
        <v>500</v>
      </c>
      <c r="D8">
        <v>85</v>
      </c>
      <c r="E8">
        <v>94858.823529411762</v>
      </c>
      <c r="F8">
        <v>143082.35294117648</v>
      </c>
    </row>
    <row r="9" spans="1:6">
      <c r="B9" t="s">
        <v>546</v>
      </c>
      <c r="D9">
        <v>17</v>
      </c>
      <c r="E9">
        <v>110882.35294117648</v>
      </c>
      <c r="F9">
        <v>175882.35294117648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598EB4-BDE7-4766-B26A-C5B4A678C33C}">
  <dimension ref="A1:D24"/>
  <sheetViews>
    <sheetView workbookViewId="0">
      <selection activeCell="F11" sqref="F11"/>
    </sheetView>
  </sheetViews>
  <sheetFormatPr defaultRowHeight="15"/>
  <cols>
    <col min="1" max="1" width="33.28515625" bestFit="1" customWidth="1"/>
    <col min="2" max="2" width="8.85546875" bestFit="1" customWidth="1"/>
    <col min="3" max="3" width="13.28515625" bestFit="1" customWidth="1"/>
    <col min="4" max="4" width="13.5703125" bestFit="1" customWidth="1"/>
  </cols>
  <sheetData>
    <row r="1" spans="1:4">
      <c r="A1" t="s">
        <v>15</v>
      </c>
      <c r="B1" t="s">
        <v>1156</v>
      </c>
      <c r="C1" t="s">
        <v>1199</v>
      </c>
      <c r="D1" t="s">
        <v>1200</v>
      </c>
    </row>
    <row r="2" spans="1:4">
      <c r="A2" t="s">
        <v>26</v>
      </c>
      <c r="B2">
        <v>32</v>
      </c>
      <c r="C2">
        <v>88781.25</v>
      </c>
      <c r="D2">
        <v>133781.25</v>
      </c>
    </row>
    <row r="3" spans="1:4">
      <c r="A3" t="s">
        <v>33</v>
      </c>
      <c r="B3">
        <v>120</v>
      </c>
      <c r="C3">
        <v>104566.66666666667</v>
      </c>
      <c r="D3">
        <v>155591.66666666666</v>
      </c>
    </row>
    <row r="4" spans="1:4">
      <c r="A4" t="s">
        <v>38</v>
      </c>
      <c r="B4">
        <v>188</v>
      </c>
      <c r="C4">
        <v>95037.234042553202</v>
      </c>
      <c r="D4">
        <v>142781.91489361701</v>
      </c>
    </row>
    <row r="5" spans="1:4">
      <c r="A5" t="s">
        <v>63</v>
      </c>
      <c r="B5">
        <v>17</v>
      </c>
      <c r="C5">
        <v>108529.41176470587</v>
      </c>
      <c r="D5">
        <v>160411.76470588235</v>
      </c>
    </row>
    <row r="6" spans="1:4">
      <c r="A6" t="s">
        <v>80</v>
      </c>
      <c r="B6">
        <v>23</v>
      </c>
      <c r="C6">
        <v>100956.52173913043</v>
      </c>
      <c r="D6">
        <v>145521.73913043478</v>
      </c>
    </row>
    <row r="7" spans="1:4">
      <c r="A7" t="s">
        <v>86</v>
      </c>
      <c r="B7">
        <v>66</v>
      </c>
      <c r="C7">
        <v>97954.545454545456</v>
      </c>
      <c r="D7">
        <v>147787.87878787878</v>
      </c>
    </row>
    <row r="8" spans="1:4">
      <c r="A8" t="s">
        <v>92</v>
      </c>
      <c r="B8">
        <v>7</v>
      </c>
      <c r="C8">
        <v>119857.14285714286</v>
      </c>
      <c r="D8">
        <v>180428.57142857142</v>
      </c>
    </row>
    <row r="9" spans="1:4">
      <c r="A9" t="s">
        <v>96</v>
      </c>
      <c r="B9">
        <v>46</v>
      </c>
      <c r="C9">
        <v>108021.73913043478</v>
      </c>
      <c r="D9">
        <v>157369.5652173913</v>
      </c>
    </row>
    <row r="10" spans="1:4">
      <c r="A10" t="s">
        <v>102</v>
      </c>
      <c r="B10">
        <v>33</v>
      </c>
      <c r="C10">
        <v>91909.090909090912</v>
      </c>
      <c r="D10">
        <v>139090.90909090909</v>
      </c>
    </row>
    <row r="11" spans="1:4">
      <c r="A11" t="s">
        <v>182</v>
      </c>
      <c r="B11">
        <v>10</v>
      </c>
      <c r="C11">
        <v>82800</v>
      </c>
      <c r="D11">
        <v>119800</v>
      </c>
    </row>
    <row r="12" spans="1:4">
      <c r="A12" t="s">
        <v>205</v>
      </c>
      <c r="B12">
        <v>21</v>
      </c>
      <c r="C12">
        <v>97333.333333333328</v>
      </c>
      <c r="D12">
        <v>142190.47619047618</v>
      </c>
    </row>
    <row r="13" spans="1:4">
      <c r="A13" t="s">
        <v>39</v>
      </c>
      <c r="B13">
        <v>44</v>
      </c>
      <c r="C13">
        <v>100840.90909090909</v>
      </c>
      <c r="D13">
        <v>157113.63636363635</v>
      </c>
    </row>
    <row r="14" spans="1:4">
      <c r="A14" t="s">
        <v>267</v>
      </c>
      <c r="B14">
        <v>6</v>
      </c>
      <c r="C14">
        <v>92333.333333333328</v>
      </c>
      <c r="D14">
        <v>143166.66666666666</v>
      </c>
    </row>
    <row r="15" spans="1:4">
      <c r="A15" t="s">
        <v>402</v>
      </c>
      <c r="B15">
        <v>5</v>
      </c>
      <c r="C15">
        <v>126400</v>
      </c>
      <c r="D15">
        <v>184200</v>
      </c>
    </row>
    <row r="16" spans="1:4">
      <c r="A16" t="s">
        <v>431</v>
      </c>
      <c r="B16">
        <v>7</v>
      </c>
      <c r="C16">
        <v>90714.28571428571</v>
      </c>
      <c r="D16">
        <v>134000</v>
      </c>
    </row>
    <row r="17" spans="1:4">
      <c r="A17" t="s">
        <v>500</v>
      </c>
      <c r="B17">
        <v>3</v>
      </c>
      <c r="C17">
        <v>87666.666666666672</v>
      </c>
      <c r="D17">
        <v>146000</v>
      </c>
    </row>
    <row r="18" spans="1:4">
      <c r="A18" t="s">
        <v>743</v>
      </c>
      <c r="B18">
        <v>3</v>
      </c>
      <c r="C18">
        <v>106333.33333333334</v>
      </c>
      <c r="D18">
        <v>151000</v>
      </c>
    </row>
    <row r="19" spans="1:4">
      <c r="A19" t="s">
        <v>802</v>
      </c>
      <c r="B19">
        <v>3</v>
      </c>
      <c r="C19">
        <v>75666.666666666672</v>
      </c>
      <c r="D19">
        <v>132000</v>
      </c>
    </row>
    <row r="20" spans="1:4">
      <c r="A20" t="s">
        <v>811</v>
      </c>
      <c r="B20">
        <v>3</v>
      </c>
      <c r="C20">
        <v>95333.333333333328</v>
      </c>
      <c r="D20">
        <v>140333.33333333334</v>
      </c>
    </row>
    <row r="21" spans="1:4">
      <c r="A21" t="s">
        <v>917</v>
      </c>
      <c r="B21">
        <v>3</v>
      </c>
      <c r="C21">
        <v>99666.666666666672</v>
      </c>
      <c r="D21">
        <v>149666.66666666666</v>
      </c>
    </row>
    <row r="22" spans="1:4">
      <c r="A22" t="s">
        <v>979</v>
      </c>
      <c r="B22">
        <v>1</v>
      </c>
      <c r="C22">
        <v>31000</v>
      </c>
      <c r="D22">
        <v>56000</v>
      </c>
    </row>
    <row r="23" spans="1:4">
      <c r="A23" t="s">
        <v>985</v>
      </c>
      <c r="B23">
        <v>2</v>
      </c>
      <c r="C23">
        <v>55500</v>
      </c>
      <c r="D23">
        <v>94000</v>
      </c>
    </row>
    <row r="24" spans="1:4">
      <c r="A24" t="s">
        <v>1029</v>
      </c>
      <c r="B24">
        <v>2</v>
      </c>
      <c r="C24">
        <v>158500</v>
      </c>
      <c r="D24">
        <v>249000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D7E8F8-D316-4BDA-8168-B56C139FC77B}">
  <sheetPr codeName="Sheet7"/>
  <dimension ref="A1:C133"/>
  <sheetViews>
    <sheetView topLeftCell="A99" workbookViewId="0">
      <selection activeCell="A2" sqref="A2:A133"/>
    </sheetView>
  </sheetViews>
  <sheetFormatPr defaultRowHeight="15"/>
  <cols>
    <col min="1" max="1" width="25" bestFit="1" customWidth="1"/>
    <col min="2" max="2" width="29.42578125" bestFit="1" customWidth="1"/>
    <col min="3" max="3" width="33.28515625" bestFit="1" customWidth="1"/>
  </cols>
  <sheetData>
    <row r="1" spans="1:3">
      <c r="A1" t="s">
        <v>1</v>
      </c>
      <c r="B1" t="s">
        <v>13</v>
      </c>
      <c r="C1" t="s">
        <v>15</v>
      </c>
    </row>
    <row r="2" spans="1:3">
      <c r="A2" t="s">
        <v>18</v>
      </c>
      <c r="B2" t="s">
        <v>24</v>
      </c>
      <c r="C2" t="s">
        <v>26</v>
      </c>
    </row>
    <row r="3" spans="1:3">
      <c r="A3" t="s">
        <v>18</v>
      </c>
      <c r="B3" t="s">
        <v>31</v>
      </c>
      <c r="C3" t="s">
        <v>33</v>
      </c>
    </row>
    <row r="4" spans="1:3">
      <c r="A4" t="s">
        <v>18</v>
      </c>
      <c r="B4" t="s">
        <v>31</v>
      </c>
      <c r="C4" t="s">
        <v>38</v>
      </c>
    </row>
    <row r="5" spans="1:3">
      <c r="A5" t="s">
        <v>18</v>
      </c>
      <c r="B5" t="s">
        <v>50</v>
      </c>
      <c r="C5" t="s">
        <v>33</v>
      </c>
    </row>
    <row r="6" spans="1:3">
      <c r="A6" t="s">
        <v>18</v>
      </c>
      <c r="B6" t="s">
        <v>31</v>
      </c>
      <c r="C6" t="s">
        <v>63</v>
      </c>
    </row>
    <row r="7" spans="1:3">
      <c r="A7" t="s">
        <v>18</v>
      </c>
      <c r="B7" t="s">
        <v>74</v>
      </c>
      <c r="C7" t="s">
        <v>33</v>
      </c>
    </row>
    <row r="8" spans="1:3">
      <c r="A8" t="s">
        <v>18</v>
      </c>
      <c r="B8" t="s">
        <v>50</v>
      </c>
      <c r="C8" t="s">
        <v>80</v>
      </c>
    </row>
    <row r="9" spans="1:3">
      <c r="A9" t="s">
        <v>18</v>
      </c>
      <c r="B9" t="s">
        <v>50</v>
      </c>
      <c r="C9" t="s">
        <v>86</v>
      </c>
    </row>
    <row r="10" spans="1:3">
      <c r="A10" t="s">
        <v>18</v>
      </c>
      <c r="B10" t="s">
        <v>50</v>
      </c>
      <c r="C10" t="s">
        <v>92</v>
      </c>
    </row>
    <row r="11" spans="1:3">
      <c r="A11" t="s">
        <v>18</v>
      </c>
      <c r="B11" t="s">
        <v>24</v>
      </c>
      <c r="C11" t="s">
        <v>96</v>
      </c>
    </row>
    <row r="12" spans="1:3">
      <c r="A12" t="s">
        <v>99</v>
      </c>
      <c r="B12" t="s">
        <v>31</v>
      </c>
      <c r="C12" t="s">
        <v>102</v>
      </c>
    </row>
    <row r="13" spans="1:3">
      <c r="A13" t="s">
        <v>103</v>
      </c>
      <c r="B13" t="s">
        <v>50</v>
      </c>
      <c r="C13" t="s">
        <v>86</v>
      </c>
    </row>
    <row r="14" spans="1:3">
      <c r="A14" t="s">
        <v>112</v>
      </c>
      <c r="B14" t="s">
        <v>50</v>
      </c>
      <c r="C14" t="s">
        <v>33</v>
      </c>
    </row>
    <row r="15" spans="1:3">
      <c r="A15" t="s">
        <v>18</v>
      </c>
      <c r="B15" t="s">
        <v>50</v>
      </c>
      <c r="C15" t="s">
        <v>38</v>
      </c>
    </row>
    <row r="16" spans="1:3">
      <c r="A16" t="s">
        <v>112</v>
      </c>
      <c r="B16" t="s">
        <v>31</v>
      </c>
      <c r="C16" t="s">
        <v>86</v>
      </c>
    </row>
    <row r="17" spans="1:3">
      <c r="A17" t="s">
        <v>18</v>
      </c>
      <c r="B17" t="s">
        <v>63</v>
      </c>
      <c r="C17" t="s">
        <v>63</v>
      </c>
    </row>
    <row r="18" spans="1:3">
      <c r="A18" t="s">
        <v>99</v>
      </c>
      <c r="B18" t="s">
        <v>31</v>
      </c>
      <c r="C18" t="s">
        <v>33</v>
      </c>
    </row>
    <row r="19" spans="1:3">
      <c r="A19" t="s">
        <v>112</v>
      </c>
      <c r="B19" t="s">
        <v>31</v>
      </c>
      <c r="C19" t="s">
        <v>80</v>
      </c>
    </row>
    <row r="20" spans="1:3">
      <c r="A20" t="s">
        <v>18</v>
      </c>
      <c r="B20" t="s">
        <v>31</v>
      </c>
      <c r="C20" t="s">
        <v>102</v>
      </c>
    </row>
    <row r="21" spans="1:3">
      <c r="A21" t="s">
        <v>18</v>
      </c>
      <c r="B21" t="s">
        <v>63</v>
      </c>
      <c r="C21" t="s">
        <v>182</v>
      </c>
    </row>
    <row r="22" spans="1:3">
      <c r="A22" t="s">
        <v>18</v>
      </c>
      <c r="B22" t="s">
        <v>31</v>
      </c>
      <c r="C22" t="s">
        <v>182</v>
      </c>
    </row>
    <row r="23" spans="1:3">
      <c r="A23" t="s">
        <v>195</v>
      </c>
      <c r="B23" t="s">
        <v>31</v>
      </c>
      <c r="C23" t="s">
        <v>38</v>
      </c>
    </row>
    <row r="24" spans="1:3">
      <c r="A24" t="s">
        <v>18</v>
      </c>
      <c r="B24" t="s">
        <v>31</v>
      </c>
      <c r="C24" t="s">
        <v>205</v>
      </c>
    </row>
    <row r="25" spans="1:3">
      <c r="A25" t="s">
        <v>18</v>
      </c>
      <c r="B25" t="s">
        <v>31</v>
      </c>
      <c r="C25" t="s">
        <v>80</v>
      </c>
    </row>
    <row r="26" spans="1:3">
      <c r="A26" t="s">
        <v>99</v>
      </c>
      <c r="B26" t="s">
        <v>50</v>
      </c>
      <c r="C26" t="s">
        <v>38</v>
      </c>
    </row>
    <row r="27" spans="1:3">
      <c r="A27" t="s">
        <v>112</v>
      </c>
      <c r="B27" t="s">
        <v>24</v>
      </c>
      <c r="C27" t="s">
        <v>205</v>
      </c>
    </row>
    <row r="28" spans="1:3">
      <c r="A28" t="s">
        <v>112</v>
      </c>
      <c r="B28" t="s">
        <v>31</v>
      </c>
      <c r="C28" t="s">
        <v>26</v>
      </c>
    </row>
    <row r="29" spans="1:3">
      <c r="A29" t="s">
        <v>18</v>
      </c>
      <c r="B29" t="s">
        <v>31</v>
      </c>
      <c r="C29" t="s">
        <v>26</v>
      </c>
    </row>
    <row r="30" spans="1:3">
      <c r="A30" t="s">
        <v>112</v>
      </c>
      <c r="B30" t="s">
        <v>31</v>
      </c>
      <c r="C30" t="s">
        <v>38</v>
      </c>
    </row>
    <row r="31" spans="1:3">
      <c r="A31" t="s">
        <v>103</v>
      </c>
      <c r="B31" t="s">
        <v>31</v>
      </c>
      <c r="C31" t="s">
        <v>26</v>
      </c>
    </row>
    <row r="32" spans="1:3">
      <c r="A32" t="s">
        <v>99</v>
      </c>
      <c r="B32" t="s">
        <v>31</v>
      </c>
      <c r="C32" t="s">
        <v>39</v>
      </c>
    </row>
    <row r="33" spans="1:3">
      <c r="A33" t="s">
        <v>99</v>
      </c>
      <c r="B33" t="s">
        <v>31</v>
      </c>
      <c r="C33" t="s">
        <v>38</v>
      </c>
    </row>
    <row r="34" spans="1:3">
      <c r="A34" t="s">
        <v>18</v>
      </c>
      <c r="B34" t="s">
        <v>31</v>
      </c>
      <c r="C34" t="s">
        <v>86</v>
      </c>
    </row>
    <row r="35" spans="1:3">
      <c r="A35" t="s">
        <v>18</v>
      </c>
      <c r="B35" t="s">
        <v>31</v>
      </c>
      <c r="C35" t="s">
        <v>267</v>
      </c>
    </row>
    <row r="36" spans="1:3">
      <c r="A36" t="s">
        <v>99</v>
      </c>
      <c r="B36" t="s">
        <v>50</v>
      </c>
      <c r="C36" t="s">
        <v>26</v>
      </c>
    </row>
    <row r="37" spans="1:3">
      <c r="A37" t="s">
        <v>103</v>
      </c>
      <c r="B37" t="s">
        <v>31</v>
      </c>
      <c r="C37" t="s">
        <v>96</v>
      </c>
    </row>
    <row r="38" spans="1:3">
      <c r="A38" t="s">
        <v>99</v>
      </c>
      <c r="B38" t="s">
        <v>284</v>
      </c>
      <c r="C38" t="s">
        <v>80</v>
      </c>
    </row>
    <row r="39" spans="1:3">
      <c r="A39" t="s">
        <v>195</v>
      </c>
      <c r="B39" t="s">
        <v>31</v>
      </c>
      <c r="C39" t="s">
        <v>102</v>
      </c>
    </row>
    <row r="40" spans="1:3">
      <c r="A40" t="s">
        <v>103</v>
      </c>
      <c r="B40" t="s">
        <v>31</v>
      </c>
      <c r="C40" t="s">
        <v>86</v>
      </c>
    </row>
    <row r="41" spans="1:3">
      <c r="A41" t="s">
        <v>195</v>
      </c>
      <c r="B41" t="s">
        <v>50</v>
      </c>
      <c r="C41" t="s">
        <v>33</v>
      </c>
    </row>
    <row r="42" spans="1:3">
      <c r="A42" t="s">
        <v>99</v>
      </c>
      <c r="B42" t="s">
        <v>50</v>
      </c>
      <c r="C42" t="s">
        <v>80</v>
      </c>
    </row>
    <row r="43" spans="1:3">
      <c r="A43" t="s">
        <v>99</v>
      </c>
      <c r="B43" t="s">
        <v>284</v>
      </c>
      <c r="C43" t="s">
        <v>26</v>
      </c>
    </row>
    <row r="44" spans="1:3">
      <c r="A44" t="s">
        <v>195</v>
      </c>
      <c r="B44" t="s">
        <v>24</v>
      </c>
      <c r="C44" t="s">
        <v>26</v>
      </c>
    </row>
    <row r="45" spans="1:3">
      <c r="A45" t="s">
        <v>195</v>
      </c>
      <c r="B45" t="s">
        <v>31</v>
      </c>
      <c r="C45" t="s">
        <v>33</v>
      </c>
    </row>
    <row r="46" spans="1:3">
      <c r="A46" t="s">
        <v>99</v>
      </c>
      <c r="B46" t="s">
        <v>24</v>
      </c>
      <c r="C46" t="s">
        <v>205</v>
      </c>
    </row>
    <row r="47" spans="1:3">
      <c r="A47" t="s">
        <v>103</v>
      </c>
      <c r="B47" t="s">
        <v>31</v>
      </c>
      <c r="C47" t="s">
        <v>38</v>
      </c>
    </row>
    <row r="48" spans="1:3">
      <c r="A48" t="s">
        <v>18</v>
      </c>
      <c r="B48" t="s">
        <v>374</v>
      </c>
      <c r="C48" t="s">
        <v>102</v>
      </c>
    </row>
    <row r="49" spans="1:3">
      <c r="A49" t="s">
        <v>18</v>
      </c>
      <c r="B49" t="s">
        <v>31</v>
      </c>
      <c r="C49" t="s">
        <v>96</v>
      </c>
    </row>
    <row r="50" spans="1:3">
      <c r="A50" t="s">
        <v>195</v>
      </c>
      <c r="B50" t="s">
        <v>50</v>
      </c>
      <c r="C50" t="s">
        <v>205</v>
      </c>
    </row>
    <row r="51" spans="1:3">
      <c r="A51" t="s">
        <v>195</v>
      </c>
      <c r="B51" t="s">
        <v>31</v>
      </c>
      <c r="C51" t="s">
        <v>86</v>
      </c>
    </row>
    <row r="52" spans="1:3">
      <c r="A52" t="s">
        <v>99</v>
      </c>
      <c r="B52" t="s">
        <v>50</v>
      </c>
      <c r="C52" t="s">
        <v>102</v>
      </c>
    </row>
    <row r="53" spans="1:3">
      <c r="A53" t="s">
        <v>99</v>
      </c>
      <c r="B53" t="s">
        <v>284</v>
      </c>
      <c r="C53" t="s">
        <v>402</v>
      </c>
    </row>
    <row r="54" spans="1:3">
      <c r="A54" t="s">
        <v>18</v>
      </c>
      <c r="B54" t="s">
        <v>50</v>
      </c>
      <c r="C54" t="s">
        <v>96</v>
      </c>
    </row>
    <row r="55" spans="1:3">
      <c r="A55" t="s">
        <v>18</v>
      </c>
      <c r="B55" t="s">
        <v>24</v>
      </c>
      <c r="C55" t="s">
        <v>33</v>
      </c>
    </row>
    <row r="56" spans="1:3">
      <c r="A56" t="s">
        <v>195</v>
      </c>
      <c r="B56" t="s">
        <v>31</v>
      </c>
      <c r="C56" t="s">
        <v>205</v>
      </c>
    </row>
    <row r="57" spans="1:3">
      <c r="A57" t="s">
        <v>112</v>
      </c>
      <c r="B57" t="s">
        <v>31</v>
      </c>
      <c r="C57" t="s">
        <v>267</v>
      </c>
    </row>
    <row r="58" spans="1:3">
      <c r="A58" t="s">
        <v>18</v>
      </c>
      <c r="B58" t="s">
        <v>50</v>
      </c>
      <c r="C58" t="s">
        <v>431</v>
      </c>
    </row>
    <row r="59" spans="1:3">
      <c r="A59" t="s">
        <v>195</v>
      </c>
      <c r="B59" t="s">
        <v>31</v>
      </c>
      <c r="C59" t="s">
        <v>402</v>
      </c>
    </row>
    <row r="60" spans="1:3">
      <c r="A60" t="s">
        <v>112</v>
      </c>
      <c r="B60" t="s">
        <v>24</v>
      </c>
      <c r="C60" t="s">
        <v>182</v>
      </c>
    </row>
    <row r="61" spans="1:3">
      <c r="A61" t="s">
        <v>18</v>
      </c>
      <c r="B61" t="s">
        <v>24</v>
      </c>
      <c r="C61" t="s">
        <v>63</v>
      </c>
    </row>
    <row r="62" spans="1:3">
      <c r="A62" t="s">
        <v>112</v>
      </c>
      <c r="B62" t="s">
        <v>284</v>
      </c>
      <c r="C62" t="s">
        <v>86</v>
      </c>
    </row>
    <row r="63" spans="1:3">
      <c r="A63" t="s">
        <v>112</v>
      </c>
      <c r="B63" t="s">
        <v>31</v>
      </c>
      <c r="C63" t="s">
        <v>33</v>
      </c>
    </row>
    <row r="64" spans="1:3">
      <c r="A64" t="s">
        <v>18</v>
      </c>
      <c r="B64" t="s">
        <v>284</v>
      </c>
      <c r="C64" t="s">
        <v>431</v>
      </c>
    </row>
    <row r="65" spans="1:3">
      <c r="A65" t="s">
        <v>99</v>
      </c>
      <c r="B65" t="s">
        <v>31</v>
      </c>
      <c r="C65" t="s">
        <v>26</v>
      </c>
    </row>
    <row r="66" spans="1:3">
      <c r="A66" t="s">
        <v>99</v>
      </c>
      <c r="B66" t="s">
        <v>24</v>
      </c>
      <c r="C66" t="s">
        <v>431</v>
      </c>
    </row>
    <row r="67" spans="1:3">
      <c r="A67" t="s">
        <v>112</v>
      </c>
      <c r="B67" t="s">
        <v>284</v>
      </c>
      <c r="C67" t="s">
        <v>38</v>
      </c>
    </row>
    <row r="68" spans="1:3">
      <c r="A68" t="s">
        <v>18</v>
      </c>
      <c r="B68" t="s">
        <v>31</v>
      </c>
      <c r="C68" t="s">
        <v>500</v>
      </c>
    </row>
    <row r="69" spans="1:3">
      <c r="A69" t="s">
        <v>99</v>
      </c>
      <c r="B69" t="s">
        <v>50</v>
      </c>
      <c r="C69" t="s">
        <v>33</v>
      </c>
    </row>
    <row r="70" spans="1:3">
      <c r="A70" t="s">
        <v>195</v>
      </c>
      <c r="B70" t="s">
        <v>50</v>
      </c>
      <c r="C70" t="s">
        <v>39</v>
      </c>
    </row>
    <row r="71" spans="1:3">
      <c r="A71" t="s">
        <v>99</v>
      </c>
      <c r="B71" t="s">
        <v>374</v>
      </c>
      <c r="C71" t="s">
        <v>86</v>
      </c>
    </row>
    <row r="72" spans="1:3">
      <c r="A72" t="s">
        <v>99</v>
      </c>
      <c r="B72" t="s">
        <v>284</v>
      </c>
      <c r="C72" t="s">
        <v>102</v>
      </c>
    </row>
    <row r="73" spans="1:3">
      <c r="A73" t="s">
        <v>103</v>
      </c>
      <c r="B73" t="s">
        <v>24</v>
      </c>
      <c r="C73" t="s">
        <v>63</v>
      </c>
    </row>
    <row r="74" spans="1:3">
      <c r="A74" t="s">
        <v>18</v>
      </c>
      <c r="B74" t="s">
        <v>50</v>
      </c>
      <c r="C74" t="s">
        <v>26</v>
      </c>
    </row>
    <row r="75" spans="1:3">
      <c r="A75" t="s">
        <v>112</v>
      </c>
      <c r="B75" t="s">
        <v>50</v>
      </c>
      <c r="C75" t="s">
        <v>86</v>
      </c>
    </row>
    <row r="76" spans="1:3">
      <c r="A76" t="s">
        <v>18</v>
      </c>
      <c r="B76" t="s">
        <v>284</v>
      </c>
      <c r="C76" t="s">
        <v>33</v>
      </c>
    </row>
    <row r="77" spans="1:3">
      <c r="A77" t="s">
        <v>103</v>
      </c>
      <c r="B77" t="s">
        <v>284</v>
      </c>
      <c r="C77" t="s">
        <v>38</v>
      </c>
    </row>
    <row r="78" spans="1:3">
      <c r="A78" t="s">
        <v>18</v>
      </c>
      <c r="B78" t="s">
        <v>50</v>
      </c>
      <c r="C78" t="s">
        <v>39</v>
      </c>
    </row>
    <row r="79" spans="1:3">
      <c r="A79" t="s">
        <v>18</v>
      </c>
      <c r="B79" t="s">
        <v>31</v>
      </c>
      <c r="C79" t="s">
        <v>39</v>
      </c>
    </row>
    <row r="80" spans="1:3">
      <c r="A80" t="s">
        <v>103</v>
      </c>
      <c r="B80" t="s">
        <v>50</v>
      </c>
      <c r="C80" t="s">
        <v>96</v>
      </c>
    </row>
    <row r="81" spans="1:3">
      <c r="A81" t="s">
        <v>112</v>
      </c>
      <c r="B81" t="s">
        <v>50</v>
      </c>
      <c r="C81" t="s">
        <v>80</v>
      </c>
    </row>
    <row r="82" spans="1:3">
      <c r="A82" t="s">
        <v>99</v>
      </c>
      <c r="B82" t="s">
        <v>50</v>
      </c>
      <c r="C82" t="s">
        <v>182</v>
      </c>
    </row>
    <row r="83" spans="1:3">
      <c r="A83" t="s">
        <v>112</v>
      </c>
      <c r="B83" t="s">
        <v>24</v>
      </c>
      <c r="C83" t="s">
        <v>33</v>
      </c>
    </row>
    <row r="84" spans="1:3">
      <c r="A84" t="s">
        <v>112</v>
      </c>
      <c r="B84" t="s">
        <v>50</v>
      </c>
      <c r="C84" t="s">
        <v>102</v>
      </c>
    </row>
    <row r="85" spans="1:3">
      <c r="A85" t="s">
        <v>18</v>
      </c>
      <c r="B85" t="s">
        <v>50</v>
      </c>
      <c r="C85" t="s">
        <v>267</v>
      </c>
    </row>
    <row r="86" spans="1:3">
      <c r="A86" t="s">
        <v>112</v>
      </c>
      <c r="B86" t="s">
        <v>31</v>
      </c>
      <c r="C86" t="s">
        <v>96</v>
      </c>
    </row>
    <row r="87" spans="1:3">
      <c r="A87" t="s">
        <v>18</v>
      </c>
      <c r="B87" t="s">
        <v>31</v>
      </c>
      <c r="C87" t="s">
        <v>402</v>
      </c>
    </row>
    <row r="88" spans="1:3">
      <c r="A88" t="s">
        <v>18</v>
      </c>
      <c r="B88" t="s">
        <v>546</v>
      </c>
      <c r="C88" t="s">
        <v>39</v>
      </c>
    </row>
    <row r="89" spans="1:3">
      <c r="A89" t="s">
        <v>112</v>
      </c>
      <c r="B89" t="s">
        <v>74</v>
      </c>
      <c r="C89" t="s">
        <v>33</v>
      </c>
    </row>
    <row r="90" spans="1:3">
      <c r="A90" t="s">
        <v>18</v>
      </c>
      <c r="B90" t="s">
        <v>24</v>
      </c>
      <c r="C90" t="s">
        <v>86</v>
      </c>
    </row>
    <row r="91" spans="1:3">
      <c r="A91" t="s">
        <v>18</v>
      </c>
      <c r="B91" t="s">
        <v>50</v>
      </c>
      <c r="C91" t="s">
        <v>500</v>
      </c>
    </row>
    <row r="92" spans="1:3">
      <c r="A92" t="s">
        <v>18</v>
      </c>
      <c r="B92" t="s">
        <v>50</v>
      </c>
      <c r="C92" t="s">
        <v>402</v>
      </c>
    </row>
    <row r="93" spans="1:3">
      <c r="A93" t="s">
        <v>18</v>
      </c>
      <c r="B93" t="s">
        <v>31</v>
      </c>
      <c r="C93" t="s">
        <v>92</v>
      </c>
    </row>
    <row r="94" spans="1:3">
      <c r="A94" t="s">
        <v>18</v>
      </c>
      <c r="B94" t="s">
        <v>736</v>
      </c>
      <c r="C94" t="s">
        <v>205</v>
      </c>
    </row>
    <row r="95" spans="1:3">
      <c r="A95" t="s">
        <v>18</v>
      </c>
      <c r="B95" t="s">
        <v>31</v>
      </c>
      <c r="C95" t="s">
        <v>743</v>
      </c>
    </row>
    <row r="96" spans="1:3">
      <c r="A96" t="s">
        <v>18</v>
      </c>
      <c r="B96" t="s">
        <v>50</v>
      </c>
      <c r="C96" t="s">
        <v>102</v>
      </c>
    </row>
    <row r="97" spans="1:3">
      <c r="A97" t="s">
        <v>103</v>
      </c>
      <c r="B97" t="s">
        <v>31</v>
      </c>
      <c r="C97" t="s">
        <v>102</v>
      </c>
    </row>
    <row r="98" spans="1:3">
      <c r="A98" t="s">
        <v>18</v>
      </c>
      <c r="B98" t="s">
        <v>800</v>
      </c>
      <c r="C98" t="s">
        <v>802</v>
      </c>
    </row>
    <row r="99" spans="1:3">
      <c r="A99" t="s">
        <v>103</v>
      </c>
      <c r="B99" t="s">
        <v>809</v>
      </c>
      <c r="C99" t="s">
        <v>811</v>
      </c>
    </row>
    <row r="100" spans="1:3">
      <c r="A100" t="s">
        <v>195</v>
      </c>
      <c r="B100" t="s">
        <v>50</v>
      </c>
      <c r="C100" t="s">
        <v>38</v>
      </c>
    </row>
    <row r="101" spans="1:3">
      <c r="A101" t="s">
        <v>18</v>
      </c>
      <c r="B101" t="s">
        <v>284</v>
      </c>
      <c r="C101" t="s">
        <v>38</v>
      </c>
    </row>
    <row r="102" spans="1:3">
      <c r="A102" t="s">
        <v>112</v>
      </c>
      <c r="B102" t="s">
        <v>24</v>
      </c>
      <c r="C102" t="s">
        <v>96</v>
      </c>
    </row>
    <row r="103" spans="1:3">
      <c r="A103" t="s">
        <v>103</v>
      </c>
      <c r="B103" t="s">
        <v>24</v>
      </c>
      <c r="C103" t="s">
        <v>33</v>
      </c>
    </row>
    <row r="104" spans="1:3">
      <c r="A104" t="s">
        <v>18</v>
      </c>
      <c r="B104" t="s">
        <v>284</v>
      </c>
      <c r="C104" t="s">
        <v>182</v>
      </c>
    </row>
    <row r="105" spans="1:3">
      <c r="A105" t="s">
        <v>112</v>
      </c>
      <c r="B105" t="s">
        <v>857</v>
      </c>
      <c r="C105" t="s">
        <v>38</v>
      </c>
    </row>
    <row r="106" spans="1:3">
      <c r="A106" t="s">
        <v>195</v>
      </c>
      <c r="B106" t="s">
        <v>50</v>
      </c>
      <c r="C106" t="s">
        <v>26</v>
      </c>
    </row>
    <row r="107" spans="1:3">
      <c r="A107" t="s">
        <v>99</v>
      </c>
      <c r="B107" t="s">
        <v>284</v>
      </c>
      <c r="C107" t="s">
        <v>38</v>
      </c>
    </row>
    <row r="108" spans="1:3">
      <c r="A108" t="s">
        <v>195</v>
      </c>
      <c r="B108" t="s">
        <v>31</v>
      </c>
      <c r="C108" t="s">
        <v>63</v>
      </c>
    </row>
    <row r="109" spans="1:3">
      <c r="A109" t="s">
        <v>195</v>
      </c>
      <c r="B109" t="s">
        <v>374</v>
      </c>
      <c r="C109" t="s">
        <v>102</v>
      </c>
    </row>
    <row r="110" spans="1:3">
      <c r="A110" t="s">
        <v>112</v>
      </c>
      <c r="B110" t="s">
        <v>50</v>
      </c>
      <c r="C110" t="s">
        <v>205</v>
      </c>
    </row>
    <row r="111" spans="1:3">
      <c r="A111" t="s">
        <v>99</v>
      </c>
      <c r="B111" t="s">
        <v>31</v>
      </c>
      <c r="C111" t="s">
        <v>205</v>
      </c>
    </row>
    <row r="112" spans="1:3">
      <c r="A112" t="s">
        <v>18</v>
      </c>
      <c r="B112" t="s">
        <v>31</v>
      </c>
      <c r="C112" t="s">
        <v>917</v>
      </c>
    </row>
    <row r="113" spans="1:3">
      <c r="A113" t="s">
        <v>18</v>
      </c>
      <c r="B113" t="s">
        <v>31</v>
      </c>
      <c r="C113" t="s">
        <v>802</v>
      </c>
    </row>
    <row r="114" spans="1:3">
      <c r="A114" t="s">
        <v>18</v>
      </c>
      <c r="B114" t="s">
        <v>74</v>
      </c>
      <c r="C114" t="s">
        <v>205</v>
      </c>
    </row>
    <row r="115" spans="1:3">
      <c r="A115" t="s">
        <v>18</v>
      </c>
      <c r="B115" t="s">
        <v>31</v>
      </c>
      <c r="C115" t="s">
        <v>431</v>
      </c>
    </row>
    <row r="116" spans="1:3">
      <c r="A116" t="s">
        <v>18</v>
      </c>
      <c r="B116" t="s">
        <v>24</v>
      </c>
      <c r="C116" t="s">
        <v>205</v>
      </c>
    </row>
    <row r="117" spans="1:3">
      <c r="A117" t="s">
        <v>18</v>
      </c>
      <c r="B117" t="s">
        <v>24</v>
      </c>
      <c r="C117" t="s">
        <v>979</v>
      </c>
    </row>
    <row r="118" spans="1:3">
      <c r="A118" t="s">
        <v>18</v>
      </c>
      <c r="B118" t="s">
        <v>31</v>
      </c>
      <c r="C118" t="s">
        <v>985</v>
      </c>
    </row>
    <row r="119" spans="1:3">
      <c r="A119" t="s">
        <v>18</v>
      </c>
      <c r="B119" t="s">
        <v>63</v>
      </c>
      <c r="C119" t="s">
        <v>39</v>
      </c>
    </row>
    <row r="120" spans="1:3">
      <c r="A120" t="s">
        <v>18</v>
      </c>
      <c r="B120" t="s">
        <v>31</v>
      </c>
      <c r="C120" t="s">
        <v>1029</v>
      </c>
    </row>
    <row r="121" spans="1:3">
      <c r="A121" t="s">
        <v>103</v>
      </c>
      <c r="B121" t="s">
        <v>50</v>
      </c>
      <c r="C121" t="s">
        <v>38</v>
      </c>
    </row>
    <row r="122" spans="1:3">
      <c r="A122" t="s">
        <v>112</v>
      </c>
      <c r="B122" t="s">
        <v>31</v>
      </c>
      <c r="C122" t="s">
        <v>102</v>
      </c>
    </row>
    <row r="123" spans="1:3">
      <c r="A123" t="s">
        <v>18</v>
      </c>
      <c r="B123" t="s">
        <v>857</v>
      </c>
      <c r="C123" t="s">
        <v>38</v>
      </c>
    </row>
    <row r="124" spans="1:3">
      <c r="A124" t="s">
        <v>99</v>
      </c>
      <c r="B124" t="s">
        <v>24</v>
      </c>
      <c r="C124" t="s">
        <v>33</v>
      </c>
    </row>
    <row r="125" spans="1:3">
      <c r="A125" t="s">
        <v>112</v>
      </c>
      <c r="B125" t="s">
        <v>50</v>
      </c>
      <c r="C125" t="s">
        <v>38</v>
      </c>
    </row>
    <row r="126" spans="1:3">
      <c r="A126" t="s">
        <v>195</v>
      </c>
      <c r="B126" t="s">
        <v>31</v>
      </c>
      <c r="C126" t="s">
        <v>80</v>
      </c>
    </row>
    <row r="127" spans="1:3">
      <c r="A127" t="s">
        <v>112</v>
      </c>
      <c r="B127" t="s">
        <v>809</v>
      </c>
      <c r="C127" t="s">
        <v>811</v>
      </c>
    </row>
    <row r="128" spans="1:3">
      <c r="A128" t="s">
        <v>99</v>
      </c>
      <c r="B128" t="s">
        <v>374</v>
      </c>
      <c r="C128" t="s">
        <v>102</v>
      </c>
    </row>
    <row r="129" spans="1:3">
      <c r="A129" t="s">
        <v>112</v>
      </c>
      <c r="B129" t="s">
        <v>50</v>
      </c>
      <c r="C129" t="s">
        <v>39</v>
      </c>
    </row>
    <row r="130" spans="1:3">
      <c r="A130" t="s">
        <v>112</v>
      </c>
      <c r="B130" t="s">
        <v>63</v>
      </c>
      <c r="C130" t="s">
        <v>63</v>
      </c>
    </row>
    <row r="131" spans="1:3">
      <c r="A131" t="s">
        <v>195</v>
      </c>
      <c r="B131" t="s">
        <v>50</v>
      </c>
      <c r="C131" t="s">
        <v>96</v>
      </c>
    </row>
    <row r="132" spans="1:3">
      <c r="A132" t="s">
        <v>18</v>
      </c>
      <c r="B132" t="s">
        <v>284</v>
      </c>
      <c r="C132" t="s">
        <v>267</v>
      </c>
    </row>
    <row r="133" spans="1:3">
      <c r="A133" t="s">
        <v>195</v>
      </c>
      <c r="B133" t="s">
        <v>31</v>
      </c>
      <c r="C133" t="s">
        <v>26</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5E7AB-0503-4276-9BF1-3876D205E288}">
  <sheetPr codeName="Sheet8"/>
  <dimension ref="A1:R646"/>
  <sheetViews>
    <sheetView topLeftCell="A358" workbookViewId="0">
      <selection activeCell="V27" sqref="V27"/>
    </sheetView>
  </sheetViews>
  <sheetFormatPr defaultRowHeight="15"/>
  <cols>
    <col min="1" max="1" width="8.28515625" bestFit="1" customWidth="1"/>
    <col min="2" max="2" width="25" bestFit="1" customWidth="1"/>
    <col min="3" max="3" width="12.42578125" bestFit="1" customWidth="1"/>
    <col min="4" max="4" width="12.7109375" bestFit="1" customWidth="1"/>
    <col min="5" max="5" width="9" bestFit="1" customWidth="1"/>
    <col min="6" max="6" width="48.28515625" bestFit="1" customWidth="1"/>
    <col min="7" max="7" width="19.140625" bestFit="1" customWidth="1"/>
    <col min="8" max="8" width="21.140625" bestFit="1" customWidth="1"/>
    <col min="9" max="9" width="18.7109375" bestFit="1" customWidth="1"/>
    <col min="10" max="10" width="26.140625" bestFit="1" customWidth="1"/>
    <col min="11" max="11" width="20" bestFit="1" customWidth="1"/>
    <col min="12" max="12" width="20.28515625" bestFit="1" customWidth="1"/>
    <col min="13" max="13" width="11.140625" bestFit="1" customWidth="1"/>
    <col min="14" max="14" width="29.42578125" bestFit="1" customWidth="1"/>
    <col min="15" max="15" width="39" bestFit="1" customWidth="1"/>
    <col min="16" max="16" width="33.28515625" bestFit="1" customWidth="1"/>
    <col min="17" max="17" width="28.42578125" bestFit="1" customWidth="1"/>
    <col min="18" max="18" width="81.140625" bestFit="1" customWidth="1"/>
  </cols>
  <sheetData>
    <row r="1" spans="1:18">
      <c r="A1" t="s">
        <v>0</v>
      </c>
      <c r="B1" t="s">
        <v>1</v>
      </c>
      <c r="C1" t="s">
        <v>2</v>
      </c>
      <c r="D1" t="s">
        <v>3</v>
      </c>
      <c r="E1" t="s">
        <v>4</v>
      </c>
      <c r="F1" t="s">
        <v>5</v>
      </c>
      <c r="G1" t="s">
        <v>6</v>
      </c>
      <c r="H1" t="s">
        <v>7</v>
      </c>
      <c r="I1" t="s">
        <v>8</v>
      </c>
      <c r="J1" t="s">
        <v>9</v>
      </c>
      <c r="K1" t="s">
        <v>10</v>
      </c>
      <c r="L1" t="s">
        <v>11</v>
      </c>
      <c r="M1" t="s">
        <v>12</v>
      </c>
      <c r="N1" t="s">
        <v>13</v>
      </c>
      <c r="O1" t="s">
        <v>14</v>
      </c>
      <c r="P1" t="s">
        <v>15</v>
      </c>
      <c r="Q1" t="s">
        <v>16</v>
      </c>
      <c r="R1" t="s">
        <v>17</v>
      </c>
    </row>
    <row r="2" spans="1:18">
      <c r="A2">
        <v>0</v>
      </c>
      <c r="B2" t="s">
        <v>18</v>
      </c>
      <c r="C2">
        <v>137</v>
      </c>
      <c r="D2">
        <v>171</v>
      </c>
      <c r="E2">
        <v>3.1</v>
      </c>
      <c r="F2" t="s">
        <v>19</v>
      </c>
      <c r="G2" t="s">
        <v>20</v>
      </c>
      <c r="H2" t="s">
        <v>21</v>
      </c>
      <c r="I2" t="s">
        <v>20</v>
      </c>
      <c r="J2" t="s">
        <v>22</v>
      </c>
      <c r="K2" t="s">
        <v>23</v>
      </c>
      <c r="L2">
        <v>5000</v>
      </c>
      <c r="M2">
        <v>1993</v>
      </c>
      <c r="N2" t="s">
        <v>24</v>
      </c>
      <c r="O2" t="s">
        <v>25</v>
      </c>
      <c r="P2" t="s">
        <v>26</v>
      </c>
      <c r="Q2" t="s">
        <v>27</v>
      </c>
      <c r="R2" t="s">
        <v>28</v>
      </c>
    </row>
    <row r="3" spans="1:18">
      <c r="A3">
        <v>4</v>
      </c>
      <c r="B3" t="s">
        <v>18</v>
      </c>
      <c r="C3">
        <v>137</v>
      </c>
      <c r="D3">
        <v>171</v>
      </c>
      <c r="E3">
        <v>2.9</v>
      </c>
      <c r="F3" t="s">
        <v>29</v>
      </c>
      <c r="G3" t="s">
        <v>20</v>
      </c>
      <c r="H3" t="s">
        <v>21</v>
      </c>
      <c r="I3" t="s">
        <v>20</v>
      </c>
      <c r="J3" t="s">
        <v>22</v>
      </c>
      <c r="K3" t="s">
        <v>30</v>
      </c>
      <c r="L3">
        <v>200</v>
      </c>
      <c r="M3">
        <v>1998</v>
      </c>
      <c r="N3" t="s">
        <v>31</v>
      </c>
      <c r="O3" t="s">
        <v>32</v>
      </c>
      <c r="P3" t="s">
        <v>33</v>
      </c>
      <c r="Q3" t="s">
        <v>27</v>
      </c>
      <c r="R3" t="s">
        <v>34</v>
      </c>
    </row>
    <row r="4" spans="1:18">
      <c r="A4">
        <v>20</v>
      </c>
      <c r="B4" t="s">
        <v>18</v>
      </c>
      <c r="C4">
        <v>137</v>
      </c>
      <c r="D4">
        <v>171</v>
      </c>
      <c r="E4">
        <v>3.2</v>
      </c>
      <c r="F4" t="s">
        <v>35</v>
      </c>
      <c r="G4" t="s">
        <v>20</v>
      </c>
      <c r="H4" t="s">
        <v>21</v>
      </c>
      <c r="I4" t="s">
        <v>20</v>
      </c>
      <c r="J4" t="s">
        <v>36</v>
      </c>
      <c r="K4" t="s">
        <v>30</v>
      </c>
      <c r="L4">
        <v>200</v>
      </c>
      <c r="M4">
        <v>2015</v>
      </c>
      <c r="N4" t="s">
        <v>31</v>
      </c>
      <c r="O4" t="s">
        <v>37</v>
      </c>
      <c r="P4" t="s">
        <v>38</v>
      </c>
      <c r="Q4" t="s">
        <v>27</v>
      </c>
      <c r="R4" t="s">
        <v>39</v>
      </c>
    </row>
    <row r="5" spans="1:18">
      <c r="A5">
        <v>21</v>
      </c>
      <c r="B5" t="s">
        <v>18</v>
      </c>
      <c r="C5">
        <v>137</v>
      </c>
      <c r="D5">
        <v>171</v>
      </c>
      <c r="E5">
        <v>4.3</v>
      </c>
      <c r="F5" t="s">
        <v>40</v>
      </c>
      <c r="G5" t="s">
        <v>20</v>
      </c>
      <c r="H5" t="s">
        <v>21</v>
      </c>
      <c r="I5" t="s">
        <v>20</v>
      </c>
      <c r="J5" t="s">
        <v>22</v>
      </c>
      <c r="K5" t="s">
        <v>30</v>
      </c>
      <c r="L5">
        <v>200</v>
      </c>
      <c r="M5">
        <v>2011</v>
      </c>
      <c r="N5" t="s">
        <v>31</v>
      </c>
      <c r="O5" t="s">
        <v>41</v>
      </c>
      <c r="P5" t="s">
        <v>38</v>
      </c>
      <c r="Q5" t="s">
        <v>42</v>
      </c>
      <c r="R5" t="s">
        <v>43</v>
      </c>
    </row>
    <row r="6" spans="1:18">
      <c r="A6">
        <v>1</v>
      </c>
      <c r="B6" t="s">
        <v>18</v>
      </c>
      <c r="C6">
        <v>137</v>
      </c>
      <c r="D6">
        <v>171</v>
      </c>
      <c r="E6">
        <v>4.2</v>
      </c>
      <c r="F6" t="s">
        <v>44</v>
      </c>
      <c r="G6" t="s">
        <v>45</v>
      </c>
      <c r="H6" t="s">
        <v>46</v>
      </c>
      <c r="I6" t="s">
        <v>47</v>
      </c>
      <c r="J6" t="s">
        <v>48</v>
      </c>
      <c r="K6" t="s">
        <v>49</v>
      </c>
      <c r="L6">
        <v>10000</v>
      </c>
      <c r="M6">
        <v>1968</v>
      </c>
      <c r="N6" t="s">
        <v>50</v>
      </c>
      <c r="O6" t="s">
        <v>51</v>
      </c>
      <c r="P6" t="s">
        <v>33</v>
      </c>
      <c r="Q6" t="s">
        <v>52</v>
      </c>
      <c r="R6" t="s">
        <v>39</v>
      </c>
    </row>
    <row r="7" spans="1:18">
      <c r="A7">
        <v>10</v>
      </c>
      <c r="B7" t="s">
        <v>18</v>
      </c>
      <c r="C7">
        <v>137</v>
      </c>
      <c r="D7">
        <v>171</v>
      </c>
      <c r="E7">
        <v>4.5</v>
      </c>
      <c r="F7" t="s">
        <v>53</v>
      </c>
      <c r="G7" t="s">
        <v>54</v>
      </c>
      <c r="H7" t="s">
        <v>46</v>
      </c>
      <c r="I7" t="s">
        <v>47</v>
      </c>
      <c r="J7" t="s">
        <v>55</v>
      </c>
      <c r="K7" t="s">
        <v>56</v>
      </c>
      <c r="L7">
        <v>1000</v>
      </c>
      <c r="M7">
        <v>2012</v>
      </c>
      <c r="N7" t="s">
        <v>31</v>
      </c>
      <c r="O7" t="s">
        <v>57</v>
      </c>
      <c r="P7" t="s">
        <v>38</v>
      </c>
      <c r="Q7" t="s">
        <v>42</v>
      </c>
      <c r="R7" t="s">
        <v>58</v>
      </c>
    </row>
    <row r="8" spans="1:18">
      <c r="A8">
        <v>28</v>
      </c>
      <c r="B8" t="s">
        <v>18</v>
      </c>
      <c r="C8">
        <v>137</v>
      </c>
      <c r="D8">
        <v>171</v>
      </c>
      <c r="E8">
        <v>4.5</v>
      </c>
      <c r="F8" t="s">
        <v>59</v>
      </c>
      <c r="G8" t="s">
        <v>60</v>
      </c>
      <c r="H8" t="s">
        <v>46</v>
      </c>
      <c r="I8" t="s">
        <v>47</v>
      </c>
      <c r="J8" t="s">
        <v>61</v>
      </c>
      <c r="K8" t="s">
        <v>30</v>
      </c>
      <c r="L8">
        <v>200</v>
      </c>
      <c r="M8">
        <v>2005</v>
      </c>
      <c r="N8" t="s">
        <v>31</v>
      </c>
      <c r="O8" t="s">
        <v>62</v>
      </c>
      <c r="P8" t="s">
        <v>63</v>
      </c>
      <c r="Q8" t="s">
        <v>64</v>
      </c>
      <c r="R8" t="s">
        <v>39</v>
      </c>
    </row>
    <row r="9" spans="1:18">
      <c r="A9">
        <v>38</v>
      </c>
      <c r="B9" t="s">
        <v>18</v>
      </c>
      <c r="C9">
        <v>75</v>
      </c>
      <c r="D9">
        <v>131</v>
      </c>
      <c r="E9">
        <v>2.2000000000000002</v>
      </c>
      <c r="F9" t="s">
        <v>65</v>
      </c>
      <c r="G9" t="s">
        <v>45</v>
      </c>
      <c r="H9" t="s">
        <v>46</v>
      </c>
      <c r="I9" t="s">
        <v>47</v>
      </c>
      <c r="J9" t="s">
        <v>66</v>
      </c>
      <c r="K9" t="s">
        <v>67</v>
      </c>
      <c r="L9">
        <v>50</v>
      </c>
      <c r="M9">
        <v>2000</v>
      </c>
      <c r="N9" t="s">
        <v>31</v>
      </c>
      <c r="O9" t="s">
        <v>57</v>
      </c>
      <c r="P9" t="s">
        <v>38</v>
      </c>
      <c r="Q9" t="s">
        <v>68</v>
      </c>
      <c r="R9" t="s">
        <v>39</v>
      </c>
    </row>
    <row r="10" spans="1:18">
      <c r="A10">
        <v>2</v>
      </c>
      <c r="B10" t="s">
        <v>18</v>
      </c>
      <c r="C10">
        <v>137</v>
      </c>
      <c r="D10">
        <v>171</v>
      </c>
      <c r="E10">
        <v>3.8</v>
      </c>
      <c r="F10" t="s">
        <v>69</v>
      </c>
      <c r="G10" t="s">
        <v>70</v>
      </c>
      <c r="H10" t="s">
        <v>71</v>
      </c>
      <c r="I10" t="s">
        <v>72</v>
      </c>
      <c r="J10" t="s">
        <v>73</v>
      </c>
      <c r="K10" t="s">
        <v>23</v>
      </c>
      <c r="L10">
        <v>5000</v>
      </c>
      <c r="M10">
        <v>1981</v>
      </c>
      <c r="N10" t="s">
        <v>74</v>
      </c>
      <c r="O10" t="s">
        <v>75</v>
      </c>
      <c r="P10" t="s">
        <v>33</v>
      </c>
      <c r="Q10" t="s">
        <v>42</v>
      </c>
      <c r="R10" t="s">
        <v>39</v>
      </c>
    </row>
    <row r="11" spans="1:18">
      <c r="A11">
        <v>3</v>
      </c>
      <c r="B11" t="s">
        <v>18</v>
      </c>
      <c r="C11">
        <v>137</v>
      </c>
      <c r="D11">
        <v>171</v>
      </c>
      <c r="E11">
        <v>3.5</v>
      </c>
      <c r="F11" t="s">
        <v>76</v>
      </c>
      <c r="G11" t="s">
        <v>77</v>
      </c>
      <c r="H11" t="s">
        <v>71</v>
      </c>
      <c r="I11" t="s">
        <v>72</v>
      </c>
      <c r="J11" t="s">
        <v>78</v>
      </c>
      <c r="K11" t="s">
        <v>56</v>
      </c>
      <c r="L11">
        <v>1000</v>
      </c>
      <c r="M11">
        <v>2000</v>
      </c>
      <c r="N11" t="s">
        <v>50</v>
      </c>
      <c r="O11" t="s">
        <v>79</v>
      </c>
      <c r="P11" t="s">
        <v>80</v>
      </c>
      <c r="Q11" t="s">
        <v>42</v>
      </c>
      <c r="R11" t="s">
        <v>81</v>
      </c>
    </row>
    <row r="12" spans="1:18">
      <c r="A12">
        <v>6</v>
      </c>
      <c r="B12" t="s">
        <v>18</v>
      </c>
      <c r="C12">
        <v>137</v>
      </c>
      <c r="D12">
        <v>171</v>
      </c>
      <c r="E12">
        <v>3.9</v>
      </c>
      <c r="F12" t="s">
        <v>82</v>
      </c>
      <c r="G12" t="s">
        <v>83</v>
      </c>
      <c r="H12" t="s">
        <v>71</v>
      </c>
      <c r="I12" t="s">
        <v>72</v>
      </c>
      <c r="J12" t="s">
        <v>84</v>
      </c>
      <c r="K12" t="s">
        <v>85</v>
      </c>
      <c r="M12">
        <v>1996</v>
      </c>
      <c r="N12" t="s">
        <v>50</v>
      </c>
      <c r="O12" t="s">
        <v>86</v>
      </c>
      <c r="P12" t="s">
        <v>86</v>
      </c>
      <c r="Q12" t="s">
        <v>87</v>
      </c>
      <c r="R12" t="s">
        <v>39</v>
      </c>
    </row>
    <row r="13" spans="1:18">
      <c r="A13">
        <v>7</v>
      </c>
      <c r="B13" t="s">
        <v>18</v>
      </c>
      <c r="C13">
        <v>137</v>
      </c>
      <c r="D13">
        <v>171</v>
      </c>
      <c r="E13">
        <v>3.5</v>
      </c>
      <c r="F13" t="s">
        <v>88</v>
      </c>
      <c r="G13" t="s">
        <v>89</v>
      </c>
      <c r="H13" t="s">
        <v>71</v>
      </c>
      <c r="I13" t="s">
        <v>72</v>
      </c>
      <c r="J13" t="s">
        <v>90</v>
      </c>
      <c r="K13" t="s">
        <v>23</v>
      </c>
      <c r="L13">
        <v>5000</v>
      </c>
      <c r="M13">
        <v>1990</v>
      </c>
      <c r="N13" t="s">
        <v>50</v>
      </c>
      <c r="O13" t="s">
        <v>91</v>
      </c>
      <c r="P13" t="s">
        <v>92</v>
      </c>
      <c r="Q13" t="s">
        <v>52</v>
      </c>
      <c r="R13" t="s">
        <v>39</v>
      </c>
    </row>
    <row r="14" spans="1:18">
      <c r="A14">
        <v>27</v>
      </c>
      <c r="B14" t="s">
        <v>18</v>
      </c>
      <c r="C14">
        <v>137</v>
      </c>
      <c r="D14">
        <v>171</v>
      </c>
      <c r="E14">
        <v>3.8</v>
      </c>
      <c r="F14" t="s">
        <v>93</v>
      </c>
      <c r="G14" t="s">
        <v>94</v>
      </c>
      <c r="H14" t="s">
        <v>71</v>
      </c>
      <c r="I14" t="s">
        <v>72</v>
      </c>
      <c r="J14" t="s">
        <v>95</v>
      </c>
      <c r="K14" t="s">
        <v>23</v>
      </c>
      <c r="L14">
        <v>5000</v>
      </c>
      <c r="M14">
        <v>1951</v>
      </c>
      <c r="N14" t="s">
        <v>24</v>
      </c>
      <c r="O14" t="s">
        <v>96</v>
      </c>
      <c r="P14" t="s">
        <v>96</v>
      </c>
      <c r="Q14" t="s">
        <v>27</v>
      </c>
      <c r="R14" t="s">
        <v>39</v>
      </c>
    </row>
    <row r="15" spans="1:18">
      <c r="A15">
        <v>30</v>
      </c>
      <c r="B15" t="s">
        <v>18</v>
      </c>
      <c r="C15">
        <v>75</v>
      </c>
      <c r="D15">
        <v>131</v>
      </c>
      <c r="E15">
        <v>3.8</v>
      </c>
      <c r="F15" t="s">
        <v>69</v>
      </c>
      <c r="G15" t="s">
        <v>70</v>
      </c>
      <c r="H15" t="s">
        <v>71</v>
      </c>
      <c r="I15" t="s">
        <v>72</v>
      </c>
      <c r="J15" t="s">
        <v>73</v>
      </c>
      <c r="K15" t="s">
        <v>23</v>
      </c>
      <c r="L15">
        <v>5000</v>
      </c>
      <c r="M15">
        <v>1981</v>
      </c>
      <c r="N15" t="s">
        <v>74</v>
      </c>
      <c r="O15" t="s">
        <v>75</v>
      </c>
      <c r="P15" t="s">
        <v>33</v>
      </c>
      <c r="Q15" t="s">
        <v>42</v>
      </c>
      <c r="R15" t="s">
        <v>39</v>
      </c>
    </row>
    <row r="16" spans="1:18">
      <c r="A16">
        <v>31</v>
      </c>
      <c r="B16" t="s">
        <v>18</v>
      </c>
      <c r="C16">
        <v>75</v>
      </c>
      <c r="D16">
        <v>131</v>
      </c>
      <c r="E16">
        <v>3.9</v>
      </c>
      <c r="F16" t="s">
        <v>82</v>
      </c>
      <c r="G16" t="s">
        <v>83</v>
      </c>
      <c r="H16" t="s">
        <v>71</v>
      </c>
      <c r="I16" t="s">
        <v>72</v>
      </c>
      <c r="J16" t="s">
        <v>84</v>
      </c>
      <c r="K16" t="s">
        <v>85</v>
      </c>
      <c r="M16">
        <v>1996</v>
      </c>
      <c r="N16" t="s">
        <v>50</v>
      </c>
      <c r="O16" t="s">
        <v>86</v>
      </c>
      <c r="P16" t="s">
        <v>86</v>
      </c>
      <c r="Q16" t="s">
        <v>87</v>
      </c>
      <c r="R16" t="s">
        <v>39</v>
      </c>
    </row>
    <row r="17" spans="1:18">
      <c r="A17">
        <v>32</v>
      </c>
      <c r="B17" t="s">
        <v>18</v>
      </c>
      <c r="C17">
        <v>75</v>
      </c>
      <c r="D17">
        <v>131</v>
      </c>
      <c r="E17">
        <v>5</v>
      </c>
      <c r="F17" t="s">
        <v>97</v>
      </c>
      <c r="G17" t="s">
        <v>70</v>
      </c>
      <c r="H17" t="s">
        <v>71</v>
      </c>
      <c r="I17" t="s">
        <v>72</v>
      </c>
      <c r="J17" t="s">
        <v>73</v>
      </c>
      <c r="K17" t="s">
        <v>67</v>
      </c>
      <c r="L17">
        <v>50</v>
      </c>
      <c r="M17">
        <v>2019</v>
      </c>
      <c r="N17" t="s">
        <v>31</v>
      </c>
      <c r="O17" t="s">
        <v>98</v>
      </c>
      <c r="P17" t="s">
        <v>38</v>
      </c>
      <c r="Q17" t="s">
        <v>27</v>
      </c>
      <c r="R17" t="s">
        <v>39</v>
      </c>
    </row>
    <row r="18" spans="1:18">
      <c r="A18">
        <v>40</v>
      </c>
      <c r="B18" t="s">
        <v>99</v>
      </c>
      <c r="C18">
        <v>75</v>
      </c>
      <c r="D18">
        <v>131</v>
      </c>
      <c r="E18">
        <v>3.1</v>
      </c>
      <c r="F18" t="s">
        <v>100</v>
      </c>
      <c r="G18" t="s">
        <v>70</v>
      </c>
      <c r="H18" t="s">
        <v>71</v>
      </c>
      <c r="I18" t="s">
        <v>72</v>
      </c>
      <c r="J18" t="s">
        <v>73</v>
      </c>
      <c r="K18" t="s">
        <v>56</v>
      </c>
      <c r="L18">
        <v>1000</v>
      </c>
      <c r="M18">
        <v>1973</v>
      </c>
      <c r="N18" t="s">
        <v>31</v>
      </c>
      <c r="O18" t="s">
        <v>101</v>
      </c>
      <c r="P18" t="s">
        <v>102</v>
      </c>
      <c r="Q18" t="s">
        <v>42</v>
      </c>
      <c r="R18" t="s">
        <v>39</v>
      </c>
    </row>
    <row r="19" spans="1:18">
      <c r="A19">
        <v>45</v>
      </c>
      <c r="B19" t="s">
        <v>103</v>
      </c>
      <c r="C19">
        <v>75</v>
      </c>
      <c r="D19">
        <v>131</v>
      </c>
      <c r="E19">
        <v>4.0999999999999996</v>
      </c>
      <c r="F19" t="s">
        <v>104</v>
      </c>
      <c r="G19" t="s">
        <v>83</v>
      </c>
      <c r="H19" t="s">
        <v>71</v>
      </c>
      <c r="I19" t="s">
        <v>72</v>
      </c>
      <c r="J19" t="s">
        <v>22</v>
      </c>
      <c r="K19" t="s">
        <v>85</v>
      </c>
      <c r="M19">
        <v>1849</v>
      </c>
      <c r="N19" t="s">
        <v>50</v>
      </c>
      <c r="O19" t="s">
        <v>86</v>
      </c>
      <c r="P19" t="s">
        <v>86</v>
      </c>
      <c r="Q19" t="s">
        <v>87</v>
      </c>
      <c r="R19" t="s">
        <v>39</v>
      </c>
    </row>
    <row r="20" spans="1:18">
      <c r="A20">
        <v>46</v>
      </c>
      <c r="B20" t="s">
        <v>18</v>
      </c>
      <c r="C20">
        <v>75</v>
      </c>
      <c r="D20">
        <v>131</v>
      </c>
      <c r="E20">
        <v>4.8</v>
      </c>
      <c r="F20" t="s">
        <v>105</v>
      </c>
      <c r="G20" t="s">
        <v>70</v>
      </c>
      <c r="H20" t="s">
        <v>71</v>
      </c>
      <c r="I20" t="s">
        <v>72</v>
      </c>
      <c r="J20" t="s">
        <v>73</v>
      </c>
      <c r="K20" t="s">
        <v>106</v>
      </c>
      <c r="L20">
        <v>500</v>
      </c>
      <c r="M20">
        <v>2012</v>
      </c>
      <c r="N20" t="s">
        <v>31</v>
      </c>
      <c r="O20" t="s">
        <v>37</v>
      </c>
      <c r="P20" t="s">
        <v>38</v>
      </c>
      <c r="Q20" t="s">
        <v>27</v>
      </c>
      <c r="R20" t="s">
        <v>39</v>
      </c>
    </row>
    <row r="21" spans="1:18">
      <c r="A21">
        <v>49</v>
      </c>
      <c r="B21" t="s">
        <v>18</v>
      </c>
      <c r="C21">
        <v>75</v>
      </c>
      <c r="D21">
        <v>131</v>
      </c>
      <c r="E21">
        <v>4.3</v>
      </c>
      <c r="F21" t="s">
        <v>107</v>
      </c>
      <c r="G21" t="s">
        <v>83</v>
      </c>
      <c r="H21" t="s">
        <v>71</v>
      </c>
      <c r="I21" t="s">
        <v>72</v>
      </c>
      <c r="J21" t="s">
        <v>108</v>
      </c>
      <c r="K21" t="s">
        <v>106</v>
      </c>
      <c r="L21">
        <v>500</v>
      </c>
      <c r="M21">
        <v>1999</v>
      </c>
      <c r="N21" t="s">
        <v>31</v>
      </c>
      <c r="O21" t="s">
        <v>57</v>
      </c>
      <c r="P21" t="s">
        <v>38</v>
      </c>
      <c r="Q21" t="s">
        <v>27</v>
      </c>
      <c r="R21" t="s">
        <v>39</v>
      </c>
    </row>
    <row r="22" spans="1:18">
      <c r="A22">
        <v>51</v>
      </c>
      <c r="B22" t="s">
        <v>18</v>
      </c>
      <c r="C22">
        <v>75</v>
      </c>
      <c r="D22">
        <v>131</v>
      </c>
      <c r="E22">
        <v>3.7</v>
      </c>
      <c r="F22" t="s">
        <v>109</v>
      </c>
      <c r="G22" t="s">
        <v>83</v>
      </c>
      <c r="H22" t="s">
        <v>71</v>
      </c>
      <c r="I22" t="s">
        <v>72</v>
      </c>
      <c r="J22" t="s">
        <v>110</v>
      </c>
      <c r="K22" t="s">
        <v>85</v>
      </c>
      <c r="M22">
        <v>1781</v>
      </c>
      <c r="N22" t="s">
        <v>50</v>
      </c>
      <c r="O22" t="s">
        <v>86</v>
      </c>
      <c r="P22" t="s">
        <v>86</v>
      </c>
      <c r="Q22" t="s">
        <v>87</v>
      </c>
      <c r="R22" t="s">
        <v>111</v>
      </c>
    </row>
    <row r="23" spans="1:18">
      <c r="A23">
        <v>22</v>
      </c>
      <c r="B23" t="s">
        <v>112</v>
      </c>
      <c r="C23">
        <v>137</v>
      </c>
      <c r="D23">
        <v>171</v>
      </c>
      <c r="E23">
        <v>3.5</v>
      </c>
      <c r="F23" t="s">
        <v>113</v>
      </c>
      <c r="G23" t="s">
        <v>114</v>
      </c>
      <c r="H23" t="s">
        <v>115</v>
      </c>
      <c r="I23" t="s">
        <v>116</v>
      </c>
      <c r="J23" t="s">
        <v>117</v>
      </c>
      <c r="K23" t="s">
        <v>23</v>
      </c>
      <c r="L23">
        <v>5000</v>
      </c>
      <c r="M23">
        <v>1967</v>
      </c>
      <c r="N23" t="s">
        <v>50</v>
      </c>
      <c r="O23" t="s">
        <v>75</v>
      </c>
      <c r="P23" t="s">
        <v>33</v>
      </c>
      <c r="Q23" t="s">
        <v>42</v>
      </c>
      <c r="R23" t="s">
        <v>39</v>
      </c>
    </row>
    <row r="24" spans="1:18">
      <c r="A24">
        <v>5</v>
      </c>
      <c r="B24" t="s">
        <v>18</v>
      </c>
      <c r="C24">
        <v>137</v>
      </c>
      <c r="D24">
        <v>171</v>
      </c>
      <c r="E24">
        <v>4.2</v>
      </c>
      <c r="F24" t="s">
        <v>118</v>
      </c>
      <c r="G24" t="s">
        <v>119</v>
      </c>
      <c r="H24" t="s">
        <v>120</v>
      </c>
      <c r="I24" t="s">
        <v>121</v>
      </c>
      <c r="J24" t="s">
        <v>122</v>
      </c>
      <c r="K24" t="s">
        <v>30</v>
      </c>
      <c r="L24">
        <v>200</v>
      </c>
      <c r="M24">
        <v>2010</v>
      </c>
      <c r="N24" t="s">
        <v>31</v>
      </c>
      <c r="O24" t="s">
        <v>37</v>
      </c>
      <c r="P24" t="s">
        <v>38</v>
      </c>
      <c r="Q24" t="s">
        <v>27</v>
      </c>
      <c r="R24" t="s">
        <v>39</v>
      </c>
    </row>
    <row r="25" spans="1:18">
      <c r="A25">
        <v>8</v>
      </c>
      <c r="B25" t="s">
        <v>18</v>
      </c>
      <c r="C25">
        <v>137</v>
      </c>
      <c r="D25">
        <v>171</v>
      </c>
      <c r="E25">
        <v>4.4000000000000004</v>
      </c>
      <c r="F25" t="s">
        <v>123</v>
      </c>
      <c r="G25" t="s">
        <v>124</v>
      </c>
      <c r="H25" t="s">
        <v>120</v>
      </c>
      <c r="I25" t="s">
        <v>121</v>
      </c>
      <c r="J25" t="s">
        <v>125</v>
      </c>
      <c r="K25" t="s">
        <v>49</v>
      </c>
      <c r="L25">
        <v>10000</v>
      </c>
      <c r="M25">
        <v>1983</v>
      </c>
      <c r="N25" t="s">
        <v>50</v>
      </c>
      <c r="O25" t="s">
        <v>37</v>
      </c>
      <c r="P25" t="s">
        <v>38</v>
      </c>
      <c r="Q25" t="s">
        <v>126</v>
      </c>
      <c r="R25" t="s">
        <v>127</v>
      </c>
    </row>
    <row r="26" spans="1:18">
      <c r="A26">
        <v>29</v>
      </c>
      <c r="B26" t="s">
        <v>18</v>
      </c>
      <c r="C26">
        <v>137</v>
      </c>
      <c r="D26">
        <v>171</v>
      </c>
      <c r="E26">
        <v>2.8</v>
      </c>
      <c r="F26" t="s">
        <v>128</v>
      </c>
      <c r="G26" t="s">
        <v>129</v>
      </c>
      <c r="H26" t="s">
        <v>120</v>
      </c>
      <c r="I26" t="s">
        <v>121</v>
      </c>
      <c r="J26" t="s">
        <v>36</v>
      </c>
      <c r="K26" t="s">
        <v>30</v>
      </c>
      <c r="L26">
        <v>200</v>
      </c>
      <c r="M26">
        <v>2015</v>
      </c>
      <c r="N26" t="s">
        <v>31</v>
      </c>
      <c r="O26" t="s">
        <v>57</v>
      </c>
      <c r="P26" t="s">
        <v>38</v>
      </c>
      <c r="Q26" t="s">
        <v>27</v>
      </c>
      <c r="R26" t="s">
        <v>39</v>
      </c>
    </row>
    <row r="27" spans="1:18">
      <c r="A27">
        <v>39</v>
      </c>
      <c r="B27" t="s">
        <v>18</v>
      </c>
      <c r="C27">
        <v>75</v>
      </c>
      <c r="D27">
        <v>131</v>
      </c>
      <c r="E27">
        <v>3.4</v>
      </c>
      <c r="F27" t="s">
        <v>130</v>
      </c>
      <c r="G27" t="s">
        <v>131</v>
      </c>
      <c r="H27" t="s">
        <v>120</v>
      </c>
      <c r="I27" t="s">
        <v>121</v>
      </c>
      <c r="J27" t="s">
        <v>132</v>
      </c>
      <c r="K27" t="s">
        <v>56</v>
      </c>
      <c r="L27">
        <v>1000</v>
      </c>
      <c r="M27">
        <v>1966</v>
      </c>
      <c r="N27" t="s">
        <v>31</v>
      </c>
      <c r="O27" t="s">
        <v>41</v>
      </c>
      <c r="P27" t="s">
        <v>38</v>
      </c>
      <c r="Q27" t="s">
        <v>42</v>
      </c>
      <c r="R27" t="s">
        <v>133</v>
      </c>
    </row>
    <row r="28" spans="1:18">
      <c r="A28">
        <v>43</v>
      </c>
      <c r="B28" t="s">
        <v>112</v>
      </c>
      <c r="C28">
        <v>75</v>
      </c>
      <c r="D28">
        <v>131</v>
      </c>
      <c r="E28">
        <v>5</v>
      </c>
      <c r="F28" t="s">
        <v>134</v>
      </c>
      <c r="G28" t="s">
        <v>135</v>
      </c>
      <c r="H28" t="s">
        <v>120</v>
      </c>
      <c r="I28" t="s">
        <v>121</v>
      </c>
      <c r="J28" t="s">
        <v>136</v>
      </c>
      <c r="K28" t="s">
        <v>30</v>
      </c>
      <c r="L28">
        <v>200</v>
      </c>
      <c r="M28">
        <v>2019</v>
      </c>
      <c r="N28" t="s">
        <v>31</v>
      </c>
      <c r="O28" t="s">
        <v>86</v>
      </c>
      <c r="P28" t="s">
        <v>86</v>
      </c>
      <c r="Q28" t="s">
        <v>27</v>
      </c>
      <c r="R28" t="s">
        <v>39</v>
      </c>
    </row>
    <row r="29" spans="1:18">
      <c r="A29">
        <v>44</v>
      </c>
      <c r="B29" t="s">
        <v>18</v>
      </c>
      <c r="C29">
        <v>75</v>
      </c>
      <c r="D29">
        <v>131</v>
      </c>
      <c r="E29">
        <v>4.2</v>
      </c>
      <c r="F29" t="s">
        <v>137</v>
      </c>
      <c r="G29" t="s">
        <v>138</v>
      </c>
      <c r="H29" t="s">
        <v>120</v>
      </c>
      <c r="I29" t="s">
        <v>121</v>
      </c>
      <c r="J29" t="s">
        <v>139</v>
      </c>
      <c r="K29" t="s">
        <v>30</v>
      </c>
      <c r="L29">
        <v>200</v>
      </c>
      <c r="M29">
        <v>2013</v>
      </c>
      <c r="N29" t="s">
        <v>31</v>
      </c>
      <c r="O29" t="s">
        <v>57</v>
      </c>
      <c r="P29" t="s">
        <v>38</v>
      </c>
      <c r="Q29" t="s">
        <v>140</v>
      </c>
      <c r="R29" t="s">
        <v>39</v>
      </c>
    </row>
    <row r="30" spans="1:18">
      <c r="A30">
        <v>48</v>
      </c>
      <c r="B30" t="s">
        <v>18</v>
      </c>
      <c r="C30">
        <v>75</v>
      </c>
      <c r="D30">
        <v>131</v>
      </c>
      <c r="E30">
        <v>3.7</v>
      </c>
      <c r="F30" t="s">
        <v>141</v>
      </c>
      <c r="G30" t="s">
        <v>129</v>
      </c>
      <c r="H30" t="s">
        <v>120</v>
      </c>
      <c r="I30" t="s">
        <v>121</v>
      </c>
      <c r="J30" t="s">
        <v>142</v>
      </c>
      <c r="K30" t="s">
        <v>23</v>
      </c>
      <c r="L30">
        <v>5000</v>
      </c>
      <c r="M30">
        <v>2016</v>
      </c>
      <c r="N30" t="s">
        <v>63</v>
      </c>
      <c r="O30" t="s">
        <v>62</v>
      </c>
      <c r="P30" t="s">
        <v>63</v>
      </c>
      <c r="Q30" t="s">
        <v>27</v>
      </c>
      <c r="R30" t="s">
        <v>39</v>
      </c>
    </row>
    <row r="31" spans="1:18">
      <c r="A31">
        <v>50</v>
      </c>
      <c r="B31" t="s">
        <v>99</v>
      </c>
      <c r="C31">
        <v>75</v>
      </c>
      <c r="D31">
        <v>131</v>
      </c>
      <c r="E31">
        <v>4.8</v>
      </c>
      <c r="F31" t="s">
        <v>143</v>
      </c>
      <c r="G31" t="s">
        <v>129</v>
      </c>
      <c r="H31" t="s">
        <v>120</v>
      </c>
      <c r="I31" t="s">
        <v>121</v>
      </c>
      <c r="J31" t="s">
        <v>36</v>
      </c>
      <c r="K31" t="s">
        <v>67</v>
      </c>
      <c r="L31">
        <v>50</v>
      </c>
      <c r="M31">
        <v>2014</v>
      </c>
      <c r="N31" t="s">
        <v>31</v>
      </c>
      <c r="O31" t="s">
        <v>32</v>
      </c>
      <c r="P31" t="s">
        <v>33</v>
      </c>
      <c r="Q31" t="s">
        <v>140</v>
      </c>
      <c r="R31" t="s">
        <v>39</v>
      </c>
    </row>
    <row r="32" spans="1:18">
      <c r="A32">
        <v>14</v>
      </c>
      <c r="B32" t="s">
        <v>18</v>
      </c>
      <c r="C32">
        <v>137</v>
      </c>
      <c r="D32">
        <v>171</v>
      </c>
      <c r="E32">
        <v>3.4</v>
      </c>
      <c r="F32" t="s">
        <v>144</v>
      </c>
      <c r="G32" t="s">
        <v>145</v>
      </c>
      <c r="H32" t="s">
        <v>146</v>
      </c>
      <c r="I32" t="s">
        <v>147</v>
      </c>
      <c r="J32" t="s">
        <v>148</v>
      </c>
      <c r="K32" t="s">
        <v>23</v>
      </c>
      <c r="L32">
        <v>5000</v>
      </c>
      <c r="M32">
        <v>1986</v>
      </c>
      <c r="N32" t="s">
        <v>31</v>
      </c>
      <c r="O32" t="s">
        <v>75</v>
      </c>
      <c r="P32" t="s">
        <v>33</v>
      </c>
      <c r="Q32" t="s">
        <v>42</v>
      </c>
      <c r="R32" t="s">
        <v>39</v>
      </c>
    </row>
    <row r="33" spans="1:18">
      <c r="A33">
        <v>15</v>
      </c>
      <c r="B33" t="s">
        <v>18</v>
      </c>
      <c r="C33">
        <v>137</v>
      </c>
      <c r="D33">
        <v>171</v>
      </c>
      <c r="E33">
        <v>4.4000000000000004</v>
      </c>
      <c r="F33" t="s">
        <v>149</v>
      </c>
      <c r="G33" t="s">
        <v>145</v>
      </c>
      <c r="H33" t="s">
        <v>146</v>
      </c>
      <c r="I33" t="s">
        <v>147</v>
      </c>
      <c r="J33" t="s">
        <v>150</v>
      </c>
      <c r="K33" t="s">
        <v>67</v>
      </c>
      <c r="L33">
        <v>50</v>
      </c>
      <c r="M33">
        <v>1997</v>
      </c>
      <c r="N33" t="s">
        <v>31</v>
      </c>
      <c r="O33" t="s">
        <v>62</v>
      </c>
      <c r="P33" t="s">
        <v>63</v>
      </c>
      <c r="Q33" t="s">
        <v>27</v>
      </c>
      <c r="R33" t="s">
        <v>39</v>
      </c>
    </row>
    <row r="34" spans="1:18">
      <c r="A34">
        <v>9</v>
      </c>
      <c r="B34" t="s">
        <v>18</v>
      </c>
      <c r="C34">
        <v>137</v>
      </c>
      <c r="D34">
        <v>171</v>
      </c>
      <c r="E34">
        <v>3.6</v>
      </c>
      <c r="F34" t="s">
        <v>151</v>
      </c>
      <c r="G34" t="s">
        <v>152</v>
      </c>
      <c r="H34" t="s">
        <v>153</v>
      </c>
      <c r="I34" t="s">
        <v>154</v>
      </c>
      <c r="J34" t="s">
        <v>155</v>
      </c>
      <c r="K34" t="s">
        <v>30</v>
      </c>
      <c r="L34">
        <v>200</v>
      </c>
      <c r="M34">
        <v>2014</v>
      </c>
      <c r="N34" t="s">
        <v>31</v>
      </c>
      <c r="O34" t="s">
        <v>57</v>
      </c>
      <c r="P34" t="s">
        <v>38</v>
      </c>
      <c r="Q34" t="s">
        <v>27</v>
      </c>
      <c r="R34" t="s">
        <v>39</v>
      </c>
    </row>
    <row r="35" spans="1:18">
      <c r="A35">
        <v>13</v>
      </c>
      <c r="B35" t="s">
        <v>112</v>
      </c>
      <c r="C35">
        <v>137</v>
      </c>
      <c r="D35">
        <v>171</v>
      </c>
      <c r="E35">
        <v>3.1</v>
      </c>
      <c r="F35" t="s">
        <v>156</v>
      </c>
      <c r="G35" t="s">
        <v>157</v>
      </c>
      <c r="H35" t="s">
        <v>153</v>
      </c>
      <c r="I35" t="s">
        <v>154</v>
      </c>
      <c r="J35" t="s">
        <v>158</v>
      </c>
      <c r="K35" t="s">
        <v>106</v>
      </c>
      <c r="L35">
        <v>500</v>
      </c>
      <c r="M35">
        <v>1973</v>
      </c>
      <c r="N35" t="s">
        <v>31</v>
      </c>
      <c r="O35" t="s">
        <v>159</v>
      </c>
      <c r="P35" t="s">
        <v>80</v>
      </c>
      <c r="Q35" t="s">
        <v>52</v>
      </c>
      <c r="R35" t="s">
        <v>39</v>
      </c>
    </row>
    <row r="36" spans="1:18">
      <c r="A36">
        <v>24</v>
      </c>
      <c r="B36" t="s">
        <v>18</v>
      </c>
      <c r="C36">
        <v>137</v>
      </c>
      <c r="D36">
        <v>171</v>
      </c>
      <c r="E36">
        <v>3.4</v>
      </c>
      <c r="F36" t="s">
        <v>160</v>
      </c>
      <c r="G36" t="s">
        <v>152</v>
      </c>
      <c r="H36" t="s">
        <v>153</v>
      </c>
      <c r="I36" t="s">
        <v>154</v>
      </c>
      <c r="J36" t="s">
        <v>155</v>
      </c>
      <c r="K36" t="s">
        <v>30</v>
      </c>
      <c r="L36">
        <v>200</v>
      </c>
      <c r="M36">
        <v>1992</v>
      </c>
      <c r="N36" t="s">
        <v>31</v>
      </c>
      <c r="O36" t="s">
        <v>32</v>
      </c>
      <c r="P36" t="s">
        <v>33</v>
      </c>
      <c r="Q36" t="s">
        <v>140</v>
      </c>
      <c r="R36" t="s">
        <v>39</v>
      </c>
    </row>
    <row r="37" spans="1:18">
      <c r="A37">
        <v>26</v>
      </c>
      <c r="B37" t="s">
        <v>18</v>
      </c>
      <c r="C37">
        <v>137</v>
      </c>
      <c r="D37">
        <v>171</v>
      </c>
      <c r="E37">
        <v>4.2</v>
      </c>
      <c r="F37" t="s">
        <v>161</v>
      </c>
      <c r="G37" t="s">
        <v>162</v>
      </c>
      <c r="H37" t="s">
        <v>163</v>
      </c>
      <c r="I37" t="s">
        <v>164</v>
      </c>
      <c r="J37" t="s">
        <v>165</v>
      </c>
      <c r="K37" t="s">
        <v>30</v>
      </c>
      <c r="L37">
        <v>200</v>
      </c>
      <c r="M37">
        <v>1996</v>
      </c>
      <c r="N37" t="s">
        <v>31</v>
      </c>
      <c r="O37" t="s">
        <v>101</v>
      </c>
      <c r="P37" t="s">
        <v>102</v>
      </c>
      <c r="Q37" t="s">
        <v>42</v>
      </c>
      <c r="R37" t="s">
        <v>39</v>
      </c>
    </row>
    <row r="38" spans="1:18">
      <c r="A38">
        <v>25</v>
      </c>
      <c r="B38" t="s">
        <v>18</v>
      </c>
      <c r="C38">
        <v>137</v>
      </c>
      <c r="D38">
        <v>171</v>
      </c>
      <c r="E38">
        <v>4.7</v>
      </c>
      <c r="F38" t="s">
        <v>166</v>
      </c>
      <c r="G38" t="s">
        <v>167</v>
      </c>
      <c r="H38" t="s">
        <v>168</v>
      </c>
      <c r="I38" t="s">
        <v>169</v>
      </c>
      <c r="J38" t="s">
        <v>170</v>
      </c>
      <c r="K38" t="s">
        <v>30</v>
      </c>
      <c r="L38">
        <v>200</v>
      </c>
      <c r="M38">
        <v>2003</v>
      </c>
      <c r="N38" t="s">
        <v>31</v>
      </c>
      <c r="O38" t="s">
        <v>37</v>
      </c>
      <c r="P38" t="s">
        <v>38</v>
      </c>
      <c r="Q38" t="s">
        <v>64</v>
      </c>
      <c r="R38" t="s">
        <v>39</v>
      </c>
    </row>
    <row r="39" spans="1:18">
      <c r="A39">
        <v>11</v>
      </c>
      <c r="B39" t="s">
        <v>18</v>
      </c>
      <c r="C39">
        <v>137</v>
      </c>
      <c r="D39">
        <v>171</v>
      </c>
      <c r="E39">
        <v>4.7</v>
      </c>
      <c r="F39" t="s">
        <v>171</v>
      </c>
      <c r="G39" t="s">
        <v>172</v>
      </c>
      <c r="H39" t="s">
        <v>173</v>
      </c>
      <c r="I39" t="s">
        <v>174</v>
      </c>
      <c r="J39" t="s">
        <v>175</v>
      </c>
      <c r="K39" t="s">
        <v>30</v>
      </c>
      <c r="L39">
        <v>200</v>
      </c>
      <c r="M39">
        <v>2016</v>
      </c>
      <c r="N39" t="s">
        <v>31</v>
      </c>
      <c r="O39" t="s">
        <v>98</v>
      </c>
      <c r="P39" t="s">
        <v>38</v>
      </c>
      <c r="Q39" t="s">
        <v>27</v>
      </c>
      <c r="R39" t="s">
        <v>176</v>
      </c>
    </row>
    <row r="40" spans="1:18">
      <c r="A40">
        <v>12</v>
      </c>
      <c r="B40" t="s">
        <v>18</v>
      </c>
      <c r="C40">
        <v>137</v>
      </c>
      <c r="D40">
        <v>171</v>
      </c>
      <c r="E40">
        <v>3.7</v>
      </c>
      <c r="F40" t="s">
        <v>177</v>
      </c>
      <c r="G40" t="s">
        <v>178</v>
      </c>
      <c r="H40" t="s">
        <v>179</v>
      </c>
      <c r="I40" t="s">
        <v>145</v>
      </c>
      <c r="J40" t="s">
        <v>180</v>
      </c>
      <c r="K40" t="s">
        <v>23</v>
      </c>
      <c r="L40">
        <v>5000</v>
      </c>
      <c r="M40">
        <v>1965</v>
      </c>
      <c r="N40" t="s">
        <v>63</v>
      </c>
      <c r="O40" t="s">
        <v>181</v>
      </c>
      <c r="P40" t="s">
        <v>182</v>
      </c>
      <c r="Q40" t="s">
        <v>183</v>
      </c>
      <c r="R40" t="s">
        <v>184</v>
      </c>
    </row>
    <row r="41" spans="1:18">
      <c r="A41">
        <v>35</v>
      </c>
      <c r="B41" t="s">
        <v>18</v>
      </c>
      <c r="C41">
        <v>75</v>
      </c>
      <c r="D41">
        <v>131</v>
      </c>
      <c r="E41">
        <v>3.3</v>
      </c>
      <c r="F41" t="s">
        <v>185</v>
      </c>
      <c r="G41" t="s">
        <v>186</v>
      </c>
      <c r="H41" t="s">
        <v>179</v>
      </c>
      <c r="I41" t="s">
        <v>145</v>
      </c>
      <c r="J41" t="s">
        <v>187</v>
      </c>
      <c r="K41" t="s">
        <v>23</v>
      </c>
      <c r="L41">
        <v>5000</v>
      </c>
      <c r="M41">
        <v>1999</v>
      </c>
      <c r="N41" t="s">
        <v>31</v>
      </c>
      <c r="O41" t="s">
        <v>188</v>
      </c>
      <c r="P41" t="s">
        <v>182</v>
      </c>
      <c r="Q41" t="s">
        <v>126</v>
      </c>
      <c r="R41" t="s">
        <v>39</v>
      </c>
    </row>
    <row r="42" spans="1:18">
      <c r="A42">
        <v>47</v>
      </c>
      <c r="B42" t="s">
        <v>18</v>
      </c>
      <c r="C42">
        <v>75</v>
      </c>
      <c r="D42">
        <v>131</v>
      </c>
      <c r="E42">
        <v>3.3</v>
      </c>
      <c r="F42" t="s">
        <v>189</v>
      </c>
      <c r="G42" t="s">
        <v>190</v>
      </c>
      <c r="H42" t="s">
        <v>179</v>
      </c>
      <c r="I42" t="s">
        <v>145</v>
      </c>
      <c r="J42" t="s">
        <v>187</v>
      </c>
      <c r="K42" t="s">
        <v>56</v>
      </c>
      <c r="L42">
        <v>1000</v>
      </c>
      <c r="M42">
        <v>2000</v>
      </c>
      <c r="N42" t="s">
        <v>31</v>
      </c>
      <c r="O42" t="s">
        <v>101</v>
      </c>
      <c r="P42" t="s">
        <v>102</v>
      </c>
      <c r="Q42" t="s">
        <v>27</v>
      </c>
      <c r="R42" t="s">
        <v>39</v>
      </c>
    </row>
    <row r="43" spans="1:18">
      <c r="A43">
        <v>16</v>
      </c>
      <c r="B43" t="s">
        <v>18</v>
      </c>
      <c r="C43">
        <v>137</v>
      </c>
      <c r="D43">
        <v>171</v>
      </c>
      <c r="E43">
        <v>4.0999999999999996</v>
      </c>
      <c r="F43" t="s">
        <v>191</v>
      </c>
      <c r="G43" t="s">
        <v>192</v>
      </c>
      <c r="H43" t="s">
        <v>112</v>
      </c>
      <c r="I43" t="s">
        <v>193</v>
      </c>
      <c r="J43" t="s">
        <v>194</v>
      </c>
      <c r="K43" t="s">
        <v>30</v>
      </c>
      <c r="L43">
        <v>200</v>
      </c>
      <c r="M43">
        <v>2015</v>
      </c>
      <c r="N43" t="s">
        <v>31</v>
      </c>
      <c r="O43" t="s">
        <v>41</v>
      </c>
      <c r="P43" t="s">
        <v>38</v>
      </c>
      <c r="Q43" t="s">
        <v>27</v>
      </c>
      <c r="R43" t="s">
        <v>39</v>
      </c>
    </row>
    <row r="44" spans="1:18">
      <c r="A44">
        <v>34</v>
      </c>
      <c r="B44" t="s">
        <v>195</v>
      </c>
      <c r="C44">
        <v>75</v>
      </c>
      <c r="D44">
        <v>131</v>
      </c>
      <c r="E44">
        <v>3.6</v>
      </c>
      <c r="F44" t="s">
        <v>196</v>
      </c>
      <c r="G44" t="s">
        <v>192</v>
      </c>
      <c r="H44" t="s">
        <v>112</v>
      </c>
      <c r="I44" t="s">
        <v>193</v>
      </c>
      <c r="J44" t="s">
        <v>197</v>
      </c>
      <c r="K44" t="s">
        <v>106</v>
      </c>
      <c r="L44">
        <v>500</v>
      </c>
      <c r="M44">
        <v>2008</v>
      </c>
      <c r="N44" t="s">
        <v>31</v>
      </c>
      <c r="O44" t="s">
        <v>57</v>
      </c>
      <c r="P44" t="s">
        <v>38</v>
      </c>
      <c r="Q44" t="s">
        <v>198</v>
      </c>
      <c r="R44" t="s">
        <v>199</v>
      </c>
    </row>
    <row r="45" spans="1:18">
      <c r="A45">
        <v>37</v>
      </c>
      <c r="B45" t="s">
        <v>18</v>
      </c>
      <c r="C45">
        <v>75</v>
      </c>
      <c r="D45">
        <v>131</v>
      </c>
      <c r="E45">
        <v>2.7</v>
      </c>
      <c r="F45" t="s">
        <v>200</v>
      </c>
      <c r="G45" t="s">
        <v>201</v>
      </c>
      <c r="H45" t="s">
        <v>202</v>
      </c>
      <c r="I45" t="s">
        <v>203</v>
      </c>
      <c r="J45" t="s">
        <v>22</v>
      </c>
      <c r="K45" t="s">
        <v>56</v>
      </c>
      <c r="L45">
        <v>1000</v>
      </c>
      <c r="M45">
        <v>2000</v>
      </c>
      <c r="N45" t="s">
        <v>31</v>
      </c>
      <c r="O45" t="s">
        <v>204</v>
      </c>
      <c r="P45" t="s">
        <v>205</v>
      </c>
      <c r="Q45" t="s">
        <v>27</v>
      </c>
      <c r="R45" t="s">
        <v>206</v>
      </c>
    </row>
    <row r="46" spans="1:18">
      <c r="A46">
        <v>17</v>
      </c>
      <c r="B46" t="s">
        <v>18</v>
      </c>
      <c r="C46">
        <v>137</v>
      </c>
      <c r="D46">
        <v>171</v>
      </c>
      <c r="E46">
        <v>3.5</v>
      </c>
      <c r="F46" t="s">
        <v>207</v>
      </c>
      <c r="G46" t="s">
        <v>208</v>
      </c>
      <c r="H46" t="s">
        <v>209</v>
      </c>
      <c r="I46" t="s">
        <v>210</v>
      </c>
      <c r="J46" t="s">
        <v>211</v>
      </c>
      <c r="K46" t="s">
        <v>23</v>
      </c>
      <c r="L46">
        <v>5000</v>
      </c>
      <c r="M46">
        <v>1945</v>
      </c>
      <c r="N46" t="s">
        <v>31</v>
      </c>
      <c r="O46" t="s">
        <v>159</v>
      </c>
      <c r="P46" t="s">
        <v>80</v>
      </c>
      <c r="Q46" t="s">
        <v>183</v>
      </c>
      <c r="R46" t="s">
        <v>39</v>
      </c>
    </row>
    <row r="47" spans="1:18">
      <c r="A47">
        <v>18</v>
      </c>
      <c r="B47" t="s">
        <v>99</v>
      </c>
      <c r="C47">
        <v>137</v>
      </c>
      <c r="D47">
        <v>171</v>
      </c>
      <c r="E47">
        <v>4.2</v>
      </c>
      <c r="F47" t="s">
        <v>212</v>
      </c>
      <c r="G47" t="s">
        <v>213</v>
      </c>
      <c r="H47" t="s">
        <v>214</v>
      </c>
      <c r="I47" t="s">
        <v>215</v>
      </c>
      <c r="J47" t="s">
        <v>216</v>
      </c>
      <c r="K47" t="s">
        <v>49</v>
      </c>
      <c r="L47">
        <v>10000</v>
      </c>
      <c r="M47">
        <v>1988</v>
      </c>
      <c r="N47" t="s">
        <v>50</v>
      </c>
      <c r="O47" t="s">
        <v>57</v>
      </c>
      <c r="P47" t="s">
        <v>38</v>
      </c>
      <c r="Q47" t="s">
        <v>217</v>
      </c>
      <c r="R47" t="s">
        <v>218</v>
      </c>
    </row>
    <row r="48" spans="1:18">
      <c r="A48">
        <v>19</v>
      </c>
      <c r="B48" t="s">
        <v>112</v>
      </c>
      <c r="C48">
        <v>137</v>
      </c>
      <c r="D48">
        <v>171</v>
      </c>
      <c r="E48">
        <v>3.5</v>
      </c>
      <c r="F48" t="s">
        <v>219</v>
      </c>
      <c r="G48" t="s">
        <v>220</v>
      </c>
      <c r="H48" t="s">
        <v>221</v>
      </c>
      <c r="I48" t="s">
        <v>222</v>
      </c>
      <c r="J48" t="s">
        <v>223</v>
      </c>
      <c r="K48" t="s">
        <v>49</v>
      </c>
      <c r="L48">
        <v>10000</v>
      </c>
      <c r="M48">
        <v>2017</v>
      </c>
      <c r="N48" t="s">
        <v>24</v>
      </c>
      <c r="O48" t="s">
        <v>204</v>
      </c>
      <c r="P48" t="s">
        <v>205</v>
      </c>
      <c r="Q48" t="s">
        <v>27</v>
      </c>
      <c r="R48" t="s">
        <v>39</v>
      </c>
    </row>
    <row r="49" spans="1:18">
      <c r="A49">
        <v>23</v>
      </c>
      <c r="B49" t="s">
        <v>112</v>
      </c>
      <c r="C49">
        <v>137</v>
      </c>
      <c r="D49">
        <v>171</v>
      </c>
      <c r="E49">
        <v>3.5</v>
      </c>
      <c r="F49" t="s">
        <v>224</v>
      </c>
      <c r="G49" t="s">
        <v>225</v>
      </c>
      <c r="H49" t="s">
        <v>226</v>
      </c>
      <c r="I49" t="s">
        <v>227</v>
      </c>
      <c r="J49" t="s">
        <v>22</v>
      </c>
      <c r="K49" t="s">
        <v>49</v>
      </c>
      <c r="L49">
        <v>10000</v>
      </c>
      <c r="M49">
        <v>1860</v>
      </c>
      <c r="N49" t="s">
        <v>31</v>
      </c>
      <c r="O49" t="s">
        <v>25</v>
      </c>
      <c r="P49" t="s">
        <v>26</v>
      </c>
      <c r="Q49" t="s">
        <v>217</v>
      </c>
      <c r="R49" t="s">
        <v>228</v>
      </c>
    </row>
    <row r="50" spans="1:18">
      <c r="A50">
        <v>33</v>
      </c>
      <c r="B50" t="s">
        <v>18</v>
      </c>
      <c r="C50">
        <v>75</v>
      </c>
      <c r="D50">
        <v>131</v>
      </c>
      <c r="E50">
        <v>4.8</v>
      </c>
      <c r="F50" t="s">
        <v>229</v>
      </c>
      <c r="G50" t="s">
        <v>230</v>
      </c>
      <c r="H50" t="s">
        <v>226</v>
      </c>
      <c r="I50" t="s">
        <v>227</v>
      </c>
      <c r="J50" t="s">
        <v>231</v>
      </c>
      <c r="K50" t="s">
        <v>23</v>
      </c>
      <c r="L50">
        <v>5000</v>
      </c>
      <c r="M50">
        <v>1925</v>
      </c>
      <c r="N50" t="s">
        <v>31</v>
      </c>
      <c r="O50" t="s">
        <v>25</v>
      </c>
      <c r="P50" t="s">
        <v>26</v>
      </c>
      <c r="Q50" t="s">
        <v>52</v>
      </c>
      <c r="R50" t="s">
        <v>39</v>
      </c>
    </row>
    <row r="51" spans="1:18">
      <c r="A51">
        <v>36</v>
      </c>
      <c r="B51" t="s">
        <v>112</v>
      </c>
      <c r="C51">
        <v>75</v>
      </c>
      <c r="D51">
        <v>131</v>
      </c>
      <c r="E51">
        <v>2.7</v>
      </c>
      <c r="F51" t="s">
        <v>232</v>
      </c>
      <c r="G51" t="s">
        <v>233</v>
      </c>
      <c r="H51" t="s">
        <v>234</v>
      </c>
      <c r="I51" t="s">
        <v>235</v>
      </c>
      <c r="J51" t="s">
        <v>236</v>
      </c>
      <c r="K51" t="s">
        <v>23</v>
      </c>
      <c r="L51">
        <v>5000</v>
      </c>
      <c r="M51">
        <v>1978</v>
      </c>
      <c r="N51" t="s">
        <v>31</v>
      </c>
      <c r="O51" t="s">
        <v>57</v>
      </c>
      <c r="P51" t="s">
        <v>38</v>
      </c>
      <c r="Q51" t="s">
        <v>198</v>
      </c>
      <c r="R51" t="s">
        <v>39</v>
      </c>
    </row>
    <row r="52" spans="1:18">
      <c r="A52">
        <v>41</v>
      </c>
      <c r="B52" t="s">
        <v>103</v>
      </c>
      <c r="C52">
        <v>75</v>
      </c>
      <c r="D52">
        <v>131</v>
      </c>
      <c r="E52">
        <v>3.4</v>
      </c>
      <c r="F52" t="s">
        <v>237</v>
      </c>
      <c r="G52" t="s">
        <v>238</v>
      </c>
      <c r="H52" t="s">
        <v>239</v>
      </c>
      <c r="I52" t="s">
        <v>240</v>
      </c>
      <c r="J52" t="s">
        <v>73</v>
      </c>
      <c r="K52" t="s">
        <v>85</v>
      </c>
      <c r="M52">
        <v>1912</v>
      </c>
      <c r="N52" t="s">
        <v>31</v>
      </c>
      <c r="O52" t="s">
        <v>25</v>
      </c>
      <c r="P52" t="s">
        <v>26</v>
      </c>
      <c r="Q52" t="s">
        <v>87</v>
      </c>
      <c r="R52" t="s">
        <v>241</v>
      </c>
    </row>
    <row r="53" spans="1:18">
      <c r="A53">
        <v>42</v>
      </c>
      <c r="B53" t="s">
        <v>99</v>
      </c>
      <c r="C53">
        <v>75</v>
      </c>
      <c r="D53">
        <v>131</v>
      </c>
      <c r="E53">
        <v>2.6</v>
      </c>
      <c r="F53" t="s">
        <v>242</v>
      </c>
      <c r="G53" t="s">
        <v>243</v>
      </c>
      <c r="H53" t="s">
        <v>244</v>
      </c>
      <c r="I53" t="s">
        <v>245</v>
      </c>
      <c r="J53" t="s">
        <v>246</v>
      </c>
      <c r="K53" t="s">
        <v>23</v>
      </c>
      <c r="L53">
        <v>5000</v>
      </c>
      <c r="M53">
        <v>1958</v>
      </c>
      <c r="N53" t="s">
        <v>31</v>
      </c>
      <c r="O53" t="s">
        <v>39</v>
      </c>
      <c r="P53">
        <v>-1</v>
      </c>
      <c r="Q53" t="s">
        <v>42</v>
      </c>
      <c r="R53" t="s">
        <v>39</v>
      </c>
    </row>
    <row r="54" spans="1:18">
      <c r="A54">
        <v>52</v>
      </c>
      <c r="B54" t="s">
        <v>18</v>
      </c>
      <c r="C54">
        <v>75</v>
      </c>
      <c r="D54">
        <v>131</v>
      </c>
      <c r="E54">
        <v>4</v>
      </c>
      <c r="F54" t="s">
        <v>247</v>
      </c>
      <c r="G54" t="s">
        <v>129</v>
      </c>
      <c r="H54" t="s">
        <v>120</v>
      </c>
      <c r="I54" t="s">
        <v>121</v>
      </c>
      <c r="J54" t="s">
        <v>248</v>
      </c>
      <c r="K54" t="s">
        <v>56</v>
      </c>
      <c r="L54">
        <v>1000</v>
      </c>
      <c r="M54">
        <v>2012</v>
      </c>
      <c r="N54" t="s">
        <v>31</v>
      </c>
      <c r="O54" t="s">
        <v>57</v>
      </c>
      <c r="P54" t="s">
        <v>38</v>
      </c>
      <c r="Q54" t="s">
        <v>27</v>
      </c>
      <c r="R54" t="s">
        <v>249</v>
      </c>
    </row>
    <row r="55" spans="1:18">
      <c r="A55">
        <v>53</v>
      </c>
      <c r="B55" t="s">
        <v>195</v>
      </c>
      <c r="C55">
        <v>75</v>
      </c>
      <c r="D55">
        <v>131</v>
      </c>
      <c r="E55">
        <v>4.8</v>
      </c>
      <c r="F55" t="s">
        <v>250</v>
      </c>
      <c r="G55" t="s">
        <v>192</v>
      </c>
      <c r="H55" t="s">
        <v>112</v>
      </c>
      <c r="I55" t="s">
        <v>193</v>
      </c>
      <c r="J55" t="s">
        <v>251</v>
      </c>
      <c r="K55" t="s">
        <v>30</v>
      </c>
      <c r="L55">
        <v>200</v>
      </c>
      <c r="M55">
        <v>2003</v>
      </c>
      <c r="N55" t="s">
        <v>31</v>
      </c>
      <c r="O55" t="s">
        <v>98</v>
      </c>
      <c r="P55" t="s">
        <v>38</v>
      </c>
      <c r="Q55" t="s">
        <v>140</v>
      </c>
      <c r="R55" t="s">
        <v>39</v>
      </c>
    </row>
    <row r="56" spans="1:18">
      <c r="A56">
        <v>54</v>
      </c>
      <c r="B56" t="s">
        <v>99</v>
      </c>
      <c r="C56">
        <v>75</v>
      </c>
      <c r="D56">
        <v>131</v>
      </c>
      <c r="E56">
        <v>3.5</v>
      </c>
      <c r="F56" t="s">
        <v>252</v>
      </c>
      <c r="G56" t="s">
        <v>253</v>
      </c>
      <c r="H56" t="s">
        <v>254</v>
      </c>
      <c r="I56" t="s">
        <v>255</v>
      </c>
      <c r="J56" t="s">
        <v>256</v>
      </c>
      <c r="K56" t="s">
        <v>30</v>
      </c>
      <c r="L56">
        <v>200</v>
      </c>
      <c r="M56">
        <v>1999</v>
      </c>
      <c r="N56" t="s">
        <v>31</v>
      </c>
      <c r="O56" t="s">
        <v>57</v>
      </c>
      <c r="P56" t="s">
        <v>38</v>
      </c>
      <c r="Q56" t="s">
        <v>27</v>
      </c>
      <c r="R56" t="s">
        <v>39</v>
      </c>
    </row>
    <row r="57" spans="1:18">
      <c r="A57">
        <v>55</v>
      </c>
      <c r="B57" t="s">
        <v>112</v>
      </c>
      <c r="C57">
        <v>75</v>
      </c>
      <c r="D57">
        <v>131</v>
      </c>
      <c r="E57">
        <v>3.7</v>
      </c>
      <c r="F57" t="s">
        <v>257</v>
      </c>
      <c r="G57" t="s">
        <v>258</v>
      </c>
      <c r="H57" t="s">
        <v>259</v>
      </c>
      <c r="I57" t="s">
        <v>260</v>
      </c>
      <c r="J57" t="s">
        <v>261</v>
      </c>
      <c r="K57" t="s">
        <v>49</v>
      </c>
      <c r="L57">
        <v>10000</v>
      </c>
      <c r="M57">
        <v>1926</v>
      </c>
      <c r="N57" t="s">
        <v>24</v>
      </c>
      <c r="O57" t="s">
        <v>204</v>
      </c>
      <c r="P57" t="s">
        <v>205</v>
      </c>
      <c r="Q57" t="s">
        <v>42</v>
      </c>
      <c r="R57" t="s">
        <v>39</v>
      </c>
    </row>
    <row r="58" spans="1:18">
      <c r="A58">
        <v>56</v>
      </c>
      <c r="B58" t="s">
        <v>18</v>
      </c>
      <c r="C58">
        <v>75</v>
      </c>
      <c r="D58">
        <v>131</v>
      </c>
      <c r="E58">
        <v>3.5</v>
      </c>
      <c r="F58" t="s">
        <v>262</v>
      </c>
      <c r="G58" t="s">
        <v>172</v>
      </c>
      <c r="H58" t="s">
        <v>173</v>
      </c>
      <c r="I58" t="s">
        <v>174</v>
      </c>
      <c r="J58" t="s">
        <v>175</v>
      </c>
      <c r="K58" t="s">
        <v>106</v>
      </c>
      <c r="L58">
        <v>500</v>
      </c>
      <c r="M58">
        <v>2012</v>
      </c>
      <c r="N58" t="s">
        <v>31</v>
      </c>
      <c r="O58" t="s">
        <v>86</v>
      </c>
      <c r="P58" t="s">
        <v>86</v>
      </c>
      <c r="Q58" t="s">
        <v>68</v>
      </c>
      <c r="R58" t="s">
        <v>39</v>
      </c>
    </row>
    <row r="59" spans="1:18">
      <c r="A59">
        <v>57</v>
      </c>
      <c r="B59" t="s">
        <v>18</v>
      </c>
      <c r="C59">
        <v>75</v>
      </c>
      <c r="D59">
        <v>131</v>
      </c>
      <c r="E59">
        <v>4.0999999999999996</v>
      </c>
      <c r="F59" t="s">
        <v>263</v>
      </c>
      <c r="G59" t="s">
        <v>129</v>
      </c>
      <c r="H59" t="s">
        <v>120</v>
      </c>
      <c r="I59" t="s">
        <v>121</v>
      </c>
      <c r="J59" t="s">
        <v>36</v>
      </c>
      <c r="K59" t="s">
        <v>23</v>
      </c>
      <c r="L59">
        <v>5000</v>
      </c>
      <c r="M59">
        <v>2006</v>
      </c>
      <c r="N59" t="s">
        <v>50</v>
      </c>
      <c r="O59" t="s">
        <v>41</v>
      </c>
      <c r="P59" t="s">
        <v>38</v>
      </c>
      <c r="Q59" t="s">
        <v>126</v>
      </c>
      <c r="R59" t="s">
        <v>264</v>
      </c>
    </row>
    <row r="60" spans="1:18">
      <c r="A60">
        <v>58</v>
      </c>
      <c r="B60" t="s">
        <v>18</v>
      </c>
      <c r="C60">
        <v>75</v>
      </c>
      <c r="D60">
        <v>131</v>
      </c>
      <c r="E60">
        <v>3.2</v>
      </c>
      <c r="F60" t="s">
        <v>265</v>
      </c>
      <c r="G60" t="s">
        <v>129</v>
      </c>
      <c r="H60" t="s">
        <v>120</v>
      </c>
      <c r="I60" t="s">
        <v>121</v>
      </c>
      <c r="J60" t="s">
        <v>36</v>
      </c>
      <c r="K60" t="s">
        <v>23</v>
      </c>
      <c r="L60">
        <v>5000</v>
      </c>
      <c r="M60">
        <v>2011</v>
      </c>
      <c r="N60" t="s">
        <v>31</v>
      </c>
      <c r="O60" t="s">
        <v>266</v>
      </c>
      <c r="P60" t="s">
        <v>267</v>
      </c>
      <c r="Q60" t="s">
        <v>27</v>
      </c>
      <c r="R60" t="s">
        <v>268</v>
      </c>
    </row>
    <row r="61" spans="1:18">
      <c r="A61">
        <v>59</v>
      </c>
      <c r="B61" t="s">
        <v>18</v>
      </c>
      <c r="C61">
        <v>75</v>
      </c>
      <c r="D61">
        <v>131</v>
      </c>
      <c r="E61">
        <v>4.5</v>
      </c>
      <c r="F61" t="s">
        <v>269</v>
      </c>
      <c r="G61" t="s">
        <v>172</v>
      </c>
      <c r="H61" t="s">
        <v>173</v>
      </c>
      <c r="I61" t="s">
        <v>174</v>
      </c>
      <c r="J61" t="s">
        <v>175</v>
      </c>
      <c r="K61" t="s">
        <v>106</v>
      </c>
      <c r="L61">
        <v>500</v>
      </c>
      <c r="M61">
        <v>1994</v>
      </c>
      <c r="N61" t="s">
        <v>31</v>
      </c>
      <c r="O61" t="s">
        <v>270</v>
      </c>
      <c r="P61" t="s">
        <v>33</v>
      </c>
      <c r="Q61" t="s">
        <v>64</v>
      </c>
      <c r="R61" t="s">
        <v>39</v>
      </c>
    </row>
    <row r="62" spans="1:18">
      <c r="A62">
        <v>60</v>
      </c>
      <c r="B62" t="s">
        <v>99</v>
      </c>
      <c r="C62">
        <v>75</v>
      </c>
      <c r="D62">
        <v>131</v>
      </c>
      <c r="E62">
        <v>3.8</v>
      </c>
      <c r="F62" t="s">
        <v>271</v>
      </c>
      <c r="G62" t="s">
        <v>272</v>
      </c>
      <c r="H62" t="s">
        <v>273</v>
      </c>
      <c r="I62" t="s">
        <v>274</v>
      </c>
      <c r="J62" t="s">
        <v>275</v>
      </c>
      <c r="K62" t="s">
        <v>85</v>
      </c>
      <c r="M62">
        <v>1863</v>
      </c>
      <c r="N62" t="s">
        <v>50</v>
      </c>
      <c r="O62" t="s">
        <v>276</v>
      </c>
      <c r="P62" t="s">
        <v>26</v>
      </c>
      <c r="Q62" t="s">
        <v>87</v>
      </c>
      <c r="R62" t="s">
        <v>277</v>
      </c>
    </row>
    <row r="63" spans="1:18">
      <c r="A63">
        <v>61</v>
      </c>
      <c r="B63" t="s">
        <v>103</v>
      </c>
      <c r="C63">
        <v>75</v>
      </c>
      <c r="D63">
        <v>131</v>
      </c>
      <c r="E63">
        <v>4.5</v>
      </c>
      <c r="F63" t="s">
        <v>278</v>
      </c>
      <c r="G63" t="s">
        <v>279</v>
      </c>
      <c r="H63" t="s">
        <v>71</v>
      </c>
      <c r="I63" t="s">
        <v>72</v>
      </c>
      <c r="J63" t="s">
        <v>280</v>
      </c>
      <c r="K63" t="s">
        <v>106</v>
      </c>
      <c r="L63">
        <v>500</v>
      </c>
      <c r="M63">
        <v>2010</v>
      </c>
      <c r="N63" t="s">
        <v>31</v>
      </c>
      <c r="O63" t="s">
        <v>96</v>
      </c>
      <c r="P63" t="s">
        <v>96</v>
      </c>
      <c r="Q63" t="s">
        <v>42</v>
      </c>
      <c r="R63" t="s">
        <v>39</v>
      </c>
    </row>
    <row r="64" spans="1:18">
      <c r="A64">
        <v>62</v>
      </c>
      <c r="B64" t="s">
        <v>18</v>
      </c>
      <c r="C64">
        <v>79</v>
      </c>
      <c r="D64">
        <v>131</v>
      </c>
      <c r="E64">
        <v>3.5</v>
      </c>
      <c r="F64" t="s">
        <v>88</v>
      </c>
      <c r="G64" t="s">
        <v>89</v>
      </c>
      <c r="H64" t="s">
        <v>71</v>
      </c>
      <c r="I64" t="s">
        <v>72</v>
      </c>
      <c r="J64" t="s">
        <v>90</v>
      </c>
      <c r="K64" t="s">
        <v>23</v>
      </c>
      <c r="L64">
        <v>5000</v>
      </c>
      <c r="M64">
        <v>1990</v>
      </c>
      <c r="N64" t="s">
        <v>50</v>
      </c>
      <c r="O64" t="s">
        <v>91</v>
      </c>
      <c r="P64" t="s">
        <v>92</v>
      </c>
      <c r="Q64" t="s">
        <v>52</v>
      </c>
      <c r="R64" t="s">
        <v>39</v>
      </c>
    </row>
    <row r="65" spans="1:18">
      <c r="A65">
        <v>63</v>
      </c>
      <c r="B65" t="s">
        <v>18</v>
      </c>
      <c r="C65">
        <v>79</v>
      </c>
      <c r="D65">
        <v>131</v>
      </c>
      <c r="E65">
        <v>4.2</v>
      </c>
      <c r="F65" t="s">
        <v>118</v>
      </c>
      <c r="G65" t="s">
        <v>119</v>
      </c>
      <c r="H65" t="s">
        <v>120</v>
      </c>
      <c r="I65" t="s">
        <v>121</v>
      </c>
      <c r="J65" t="s">
        <v>122</v>
      </c>
      <c r="K65" t="s">
        <v>30</v>
      </c>
      <c r="L65">
        <v>200</v>
      </c>
      <c r="M65">
        <v>2010</v>
      </c>
      <c r="N65" t="s">
        <v>31</v>
      </c>
      <c r="O65" t="s">
        <v>37</v>
      </c>
      <c r="P65" t="s">
        <v>38</v>
      </c>
      <c r="Q65" t="s">
        <v>27</v>
      </c>
      <c r="R65" t="s">
        <v>39</v>
      </c>
    </row>
    <row r="66" spans="1:18">
      <c r="A66">
        <v>64</v>
      </c>
      <c r="B66" t="s">
        <v>99</v>
      </c>
      <c r="C66">
        <v>79</v>
      </c>
      <c r="D66">
        <v>131</v>
      </c>
      <c r="E66">
        <v>3.8</v>
      </c>
      <c r="F66" t="s">
        <v>281</v>
      </c>
      <c r="G66" t="s">
        <v>282</v>
      </c>
      <c r="H66" t="s">
        <v>120</v>
      </c>
      <c r="I66" t="s">
        <v>121</v>
      </c>
      <c r="J66" t="s">
        <v>283</v>
      </c>
      <c r="K66" t="s">
        <v>106</v>
      </c>
      <c r="L66">
        <v>500</v>
      </c>
      <c r="M66">
        <v>1986</v>
      </c>
      <c r="N66" t="s">
        <v>284</v>
      </c>
      <c r="O66" t="s">
        <v>285</v>
      </c>
      <c r="P66" t="s">
        <v>80</v>
      </c>
      <c r="Q66" t="s">
        <v>42</v>
      </c>
      <c r="R66" t="s">
        <v>286</v>
      </c>
    </row>
    <row r="67" spans="1:18">
      <c r="A67">
        <v>65</v>
      </c>
      <c r="B67" t="s">
        <v>195</v>
      </c>
      <c r="C67">
        <v>79</v>
      </c>
      <c r="D67">
        <v>131</v>
      </c>
      <c r="E67">
        <v>3.7</v>
      </c>
      <c r="F67" t="s">
        <v>287</v>
      </c>
      <c r="G67" t="s">
        <v>288</v>
      </c>
      <c r="H67" t="s">
        <v>163</v>
      </c>
      <c r="I67" t="s">
        <v>164</v>
      </c>
      <c r="J67" t="s">
        <v>289</v>
      </c>
      <c r="K67" t="s">
        <v>23</v>
      </c>
      <c r="L67">
        <v>5000</v>
      </c>
      <c r="M67">
        <v>1995</v>
      </c>
      <c r="N67" t="s">
        <v>31</v>
      </c>
      <c r="O67" t="s">
        <v>101</v>
      </c>
      <c r="P67" t="s">
        <v>102</v>
      </c>
      <c r="Q67" t="s">
        <v>42</v>
      </c>
      <c r="R67" t="s">
        <v>39</v>
      </c>
    </row>
    <row r="68" spans="1:18">
      <c r="A68">
        <v>66</v>
      </c>
      <c r="B68" t="s">
        <v>18</v>
      </c>
      <c r="C68">
        <v>79</v>
      </c>
      <c r="D68">
        <v>131</v>
      </c>
      <c r="E68">
        <v>3.7</v>
      </c>
      <c r="F68" t="s">
        <v>290</v>
      </c>
      <c r="G68" t="s">
        <v>20</v>
      </c>
      <c r="H68" t="s">
        <v>21</v>
      </c>
      <c r="I68" t="s">
        <v>20</v>
      </c>
      <c r="J68" t="s">
        <v>22</v>
      </c>
      <c r="K68" t="s">
        <v>56</v>
      </c>
      <c r="L68">
        <v>1000</v>
      </c>
      <c r="M68">
        <v>2012</v>
      </c>
      <c r="N68" t="s">
        <v>31</v>
      </c>
      <c r="O68" t="s">
        <v>41</v>
      </c>
      <c r="P68" t="s">
        <v>38</v>
      </c>
      <c r="Q68" t="s">
        <v>27</v>
      </c>
      <c r="R68" t="s">
        <v>39</v>
      </c>
    </row>
    <row r="69" spans="1:18">
      <c r="A69">
        <v>67</v>
      </c>
      <c r="B69" t="s">
        <v>18</v>
      </c>
      <c r="C69">
        <v>79</v>
      </c>
      <c r="D69">
        <v>131</v>
      </c>
      <c r="E69">
        <v>4</v>
      </c>
      <c r="F69" t="s">
        <v>291</v>
      </c>
      <c r="G69" t="s">
        <v>292</v>
      </c>
      <c r="H69" t="s">
        <v>120</v>
      </c>
      <c r="I69" t="s">
        <v>121</v>
      </c>
      <c r="J69" t="s">
        <v>293</v>
      </c>
      <c r="K69" t="s">
        <v>23</v>
      </c>
      <c r="L69">
        <v>5000</v>
      </c>
      <c r="M69">
        <v>2006</v>
      </c>
      <c r="N69" t="s">
        <v>31</v>
      </c>
      <c r="O69" t="s">
        <v>57</v>
      </c>
      <c r="P69" t="s">
        <v>38</v>
      </c>
      <c r="Q69" t="s">
        <v>198</v>
      </c>
      <c r="R69" t="s">
        <v>294</v>
      </c>
    </row>
    <row r="70" spans="1:18">
      <c r="A70">
        <v>68</v>
      </c>
      <c r="B70" t="s">
        <v>103</v>
      </c>
      <c r="C70">
        <v>79</v>
      </c>
      <c r="D70">
        <v>131</v>
      </c>
      <c r="E70">
        <v>3.3</v>
      </c>
      <c r="F70" t="s">
        <v>295</v>
      </c>
      <c r="G70" t="s">
        <v>152</v>
      </c>
      <c r="H70" t="s">
        <v>153</v>
      </c>
      <c r="I70" t="s">
        <v>154</v>
      </c>
      <c r="J70" t="s">
        <v>155</v>
      </c>
      <c r="K70" t="s">
        <v>56</v>
      </c>
      <c r="L70">
        <v>1000</v>
      </c>
      <c r="M70">
        <v>2015</v>
      </c>
      <c r="N70" t="s">
        <v>31</v>
      </c>
      <c r="O70" t="s">
        <v>86</v>
      </c>
      <c r="P70" t="s">
        <v>86</v>
      </c>
      <c r="Q70" t="s">
        <v>27</v>
      </c>
      <c r="R70" t="s">
        <v>39</v>
      </c>
    </row>
    <row r="71" spans="1:18">
      <c r="A71">
        <v>69</v>
      </c>
      <c r="B71" t="s">
        <v>18</v>
      </c>
      <c r="C71">
        <v>79</v>
      </c>
      <c r="D71">
        <v>131</v>
      </c>
      <c r="E71">
        <v>2.5</v>
      </c>
      <c r="F71" t="s">
        <v>296</v>
      </c>
      <c r="G71" t="s">
        <v>297</v>
      </c>
      <c r="H71" t="s">
        <v>120</v>
      </c>
      <c r="I71" t="s">
        <v>121</v>
      </c>
      <c r="J71" t="s">
        <v>298</v>
      </c>
      <c r="K71" t="s">
        <v>67</v>
      </c>
      <c r="L71">
        <v>50</v>
      </c>
      <c r="M71">
        <v>-1</v>
      </c>
      <c r="N71" t="s">
        <v>31</v>
      </c>
      <c r="O71" t="s">
        <v>86</v>
      </c>
      <c r="P71" t="s">
        <v>86</v>
      </c>
      <c r="Q71" t="s">
        <v>27</v>
      </c>
      <c r="R71" t="s">
        <v>299</v>
      </c>
    </row>
    <row r="72" spans="1:18">
      <c r="A72">
        <v>70</v>
      </c>
      <c r="B72" t="s">
        <v>195</v>
      </c>
      <c r="C72">
        <v>79</v>
      </c>
      <c r="D72">
        <v>131</v>
      </c>
      <c r="E72">
        <v>4.2</v>
      </c>
      <c r="F72" t="s">
        <v>300</v>
      </c>
      <c r="G72" t="s">
        <v>301</v>
      </c>
      <c r="H72" t="s">
        <v>163</v>
      </c>
      <c r="I72" t="s">
        <v>164</v>
      </c>
      <c r="J72" t="s">
        <v>302</v>
      </c>
      <c r="K72" t="s">
        <v>30</v>
      </c>
      <c r="L72">
        <v>200</v>
      </c>
      <c r="M72">
        <v>2006</v>
      </c>
      <c r="N72" t="s">
        <v>50</v>
      </c>
      <c r="O72" t="s">
        <v>32</v>
      </c>
      <c r="P72" t="s">
        <v>33</v>
      </c>
      <c r="Q72" t="s">
        <v>64</v>
      </c>
      <c r="R72" t="s">
        <v>303</v>
      </c>
    </row>
    <row r="73" spans="1:18">
      <c r="A73">
        <v>71</v>
      </c>
      <c r="B73" t="s">
        <v>18</v>
      </c>
      <c r="C73">
        <v>79</v>
      </c>
      <c r="D73">
        <v>131</v>
      </c>
      <c r="E73">
        <v>3.3</v>
      </c>
      <c r="F73" t="s">
        <v>295</v>
      </c>
      <c r="G73" t="s">
        <v>304</v>
      </c>
      <c r="H73" t="s">
        <v>120</v>
      </c>
      <c r="I73" t="s">
        <v>121</v>
      </c>
      <c r="J73" t="s">
        <v>155</v>
      </c>
      <c r="K73" t="s">
        <v>56</v>
      </c>
      <c r="L73">
        <v>1000</v>
      </c>
      <c r="M73">
        <v>2015</v>
      </c>
      <c r="N73" t="s">
        <v>31</v>
      </c>
      <c r="O73" t="s">
        <v>86</v>
      </c>
      <c r="P73" t="s">
        <v>86</v>
      </c>
      <c r="Q73" t="s">
        <v>27</v>
      </c>
      <c r="R73" t="s">
        <v>39</v>
      </c>
    </row>
    <row r="74" spans="1:18">
      <c r="A74">
        <v>72</v>
      </c>
      <c r="B74" t="s">
        <v>18</v>
      </c>
      <c r="C74">
        <v>79</v>
      </c>
      <c r="D74">
        <v>131</v>
      </c>
      <c r="E74">
        <v>4</v>
      </c>
      <c r="F74" t="s">
        <v>305</v>
      </c>
      <c r="G74" t="s">
        <v>129</v>
      </c>
      <c r="H74" t="s">
        <v>120</v>
      </c>
      <c r="I74" t="s">
        <v>121</v>
      </c>
      <c r="J74" t="s">
        <v>306</v>
      </c>
      <c r="K74" t="s">
        <v>49</v>
      </c>
      <c r="L74">
        <v>10000</v>
      </c>
      <c r="M74">
        <v>1982</v>
      </c>
      <c r="N74" t="s">
        <v>50</v>
      </c>
      <c r="O74" t="s">
        <v>37</v>
      </c>
      <c r="P74" t="s">
        <v>38</v>
      </c>
      <c r="Q74" t="s">
        <v>126</v>
      </c>
      <c r="R74" t="s">
        <v>39</v>
      </c>
    </row>
    <row r="75" spans="1:18">
      <c r="A75">
        <v>73</v>
      </c>
      <c r="B75" t="s">
        <v>99</v>
      </c>
      <c r="C75">
        <v>79</v>
      </c>
      <c r="D75">
        <v>131</v>
      </c>
      <c r="E75">
        <v>3.7</v>
      </c>
      <c r="F75" t="s">
        <v>307</v>
      </c>
      <c r="G75" t="s">
        <v>308</v>
      </c>
      <c r="H75" t="s">
        <v>153</v>
      </c>
      <c r="I75" t="s">
        <v>154</v>
      </c>
      <c r="J75" t="s">
        <v>309</v>
      </c>
      <c r="K75" t="s">
        <v>85</v>
      </c>
      <c r="M75">
        <v>1925</v>
      </c>
      <c r="N75" t="s">
        <v>50</v>
      </c>
      <c r="O75" t="s">
        <v>310</v>
      </c>
      <c r="P75" t="s">
        <v>80</v>
      </c>
      <c r="Q75" t="s">
        <v>87</v>
      </c>
      <c r="R75" t="s">
        <v>311</v>
      </c>
    </row>
    <row r="76" spans="1:18">
      <c r="A76">
        <v>74</v>
      </c>
      <c r="B76" t="s">
        <v>112</v>
      </c>
      <c r="C76">
        <v>79</v>
      </c>
      <c r="D76">
        <v>131</v>
      </c>
      <c r="E76">
        <v>4.9000000000000004</v>
      </c>
      <c r="F76" t="s">
        <v>312</v>
      </c>
      <c r="G76" t="s">
        <v>313</v>
      </c>
      <c r="H76" t="s">
        <v>71</v>
      </c>
      <c r="I76" t="s">
        <v>72</v>
      </c>
      <c r="J76" t="s">
        <v>314</v>
      </c>
      <c r="K76" t="s">
        <v>106</v>
      </c>
      <c r="L76">
        <v>500</v>
      </c>
      <c r="M76">
        <v>1974</v>
      </c>
      <c r="N76" t="s">
        <v>31</v>
      </c>
      <c r="O76" t="s">
        <v>86</v>
      </c>
      <c r="P76" t="s">
        <v>86</v>
      </c>
      <c r="Q76" t="s">
        <v>27</v>
      </c>
      <c r="R76" t="s">
        <v>315</v>
      </c>
    </row>
    <row r="77" spans="1:18">
      <c r="A77">
        <v>75</v>
      </c>
      <c r="B77" t="s">
        <v>99</v>
      </c>
      <c r="C77">
        <v>79</v>
      </c>
      <c r="D77">
        <v>131</v>
      </c>
      <c r="E77">
        <v>3.4</v>
      </c>
      <c r="F77" t="s">
        <v>316</v>
      </c>
      <c r="G77" t="s">
        <v>317</v>
      </c>
      <c r="H77" t="s">
        <v>273</v>
      </c>
      <c r="I77" t="s">
        <v>274</v>
      </c>
      <c r="J77" t="s">
        <v>318</v>
      </c>
      <c r="K77" t="s">
        <v>23</v>
      </c>
      <c r="L77">
        <v>5000</v>
      </c>
      <c r="M77">
        <v>2001</v>
      </c>
      <c r="N77" t="s">
        <v>284</v>
      </c>
      <c r="O77" t="s">
        <v>276</v>
      </c>
      <c r="P77" t="s">
        <v>26</v>
      </c>
      <c r="Q77" t="s">
        <v>42</v>
      </c>
      <c r="R77" t="s">
        <v>319</v>
      </c>
    </row>
    <row r="78" spans="1:18">
      <c r="A78">
        <v>76</v>
      </c>
      <c r="B78" t="s">
        <v>195</v>
      </c>
      <c r="C78">
        <v>79</v>
      </c>
      <c r="D78">
        <v>131</v>
      </c>
      <c r="E78">
        <v>3.1</v>
      </c>
      <c r="F78" t="s">
        <v>19</v>
      </c>
      <c r="G78" t="s">
        <v>20</v>
      </c>
      <c r="H78" t="s">
        <v>21</v>
      </c>
      <c r="I78" t="s">
        <v>20</v>
      </c>
      <c r="J78" t="s">
        <v>22</v>
      </c>
      <c r="K78" t="s">
        <v>23</v>
      </c>
      <c r="L78">
        <v>5000</v>
      </c>
      <c r="M78">
        <v>1993</v>
      </c>
      <c r="N78" t="s">
        <v>24</v>
      </c>
      <c r="O78" t="s">
        <v>25</v>
      </c>
      <c r="P78" t="s">
        <v>26</v>
      </c>
      <c r="Q78" t="s">
        <v>27</v>
      </c>
      <c r="R78" t="s">
        <v>28</v>
      </c>
    </row>
    <row r="79" spans="1:18">
      <c r="A79">
        <v>77</v>
      </c>
      <c r="B79" t="s">
        <v>18</v>
      </c>
      <c r="C79">
        <v>79</v>
      </c>
      <c r="D79">
        <v>131</v>
      </c>
      <c r="E79">
        <v>3.5</v>
      </c>
      <c r="F79" t="s">
        <v>320</v>
      </c>
      <c r="G79" t="s">
        <v>145</v>
      </c>
      <c r="H79" t="s">
        <v>146</v>
      </c>
      <c r="I79" t="s">
        <v>147</v>
      </c>
      <c r="J79" t="s">
        <v>321</v>
      </c>
      <c r="K79" t="s">
        <v>23</v>
      </c>
      <c r="L79">
        <v>5000</v>
      </c>
      <c r="M79">
        <v>2019</v>
      </c>
      <c r="N79" t="s">
        <v>31</v>
      </c>
      <c r="O79" t="s">
        <v>41</v>
      </c>
      <c r="P79" t="s">
        <v>38</v>
      </c>
      <c r="Q79" t="s">
        <v>27</v>
      </c>
      <c r="R79" t="s">
        <v>322</v>
      </c>
    </row>
    <row r="80" spans="1:18">
      <c r="A80">
        <v>78</v>
      </c>
      <c r="B80" t="s">
        <v>18</v>
      </c>
      <c r="C80">
        <v>79</v>
      </c>
      <c r="D80">
        <v>131</v>
      </c>
      <c r="E80">
        <v>2.9</v>
      </c>
      <c r="F80" t="s">
        <v>323</v>
      </c>
      <c r="G80" t="s">
        <v>20</v>
      </c>
      <c r="H80" t="s">
        <v>21</v>
      </c>
      <c r="I80" t="s">
        <v>20</v>
      </c>
      <c r="J80" t="s">
        <v>324</v>
      </c>
      <c r="K80" t="s">
        <v>106</v>
      </c>
      <c r="L80">
        <v>500</v>
      </c>
      <c r="M80">
        <v>1985</v>
      </c>
      <c r="N80" t="s">
        <v>31</v>
      </c>
      <c r="O80" t="s">
        <v>25</v>
      </c>
      <c r="P80" t="s">
        <v>26</v>
      </c>
      <c r="Q80" t="s">
        <v>27</v>
      </c>
      <c r="R80" t="s">
        <v>325</v>
      </c>
    </row>
    <row r="81" spans="1:18">
      <c r="A81">
        <v>79</v>
      </c>
      <c r="B81" t="s">
        <v>18</v>
      </c>
      <c r="C81">
        <v>79</v>
      </c>
      <c r="D81">
        <v>131</v>
      </c>
      <c r="E81">
        <v>3.3</v>
      </c>
      <c r="F81" t="s">
        <v>326</v>
      </c>
      <c r="G81" t="s">
        <v>327</v>
      </c>
      <c r="H81" t="s">
        <v>120</v>
      </c>
      <c r="I81" t="s">
        <v>121</v>
      </c>
      <c r="J81" t="s">
        <v>328</v>
      </c>
      <c r="K81" t="s">
        <v>106</v>
      </c>
      <c r="L81">
        <v>500</v>
      </c>
      <c r="M81">
        <v>2003</v>
      </c>
      <c r="N81" t="s">
        <v>50</v>
      </c>
      <c r="O81" t="s">
        <v>86</v>
      </c>
      <c r="P81" t="s">
        <v>86</v>
      </c>
      <c r="Q81" t="s">
        <v>42</v>
      </c>
      <c r="R81" t="s">
        <v>39</v>
      </c>
    </row>
    <row r="82" spans="1:18">
      <c r="A82">
        <v>80</v>
      </c>
      <c r="B82" t="s">
        <v>18</v>
      </c>
      <c r="C82">
        <v>79</v>
      </c>
      <c r="D82">
        <v>131</v>
      </c>
      <c r="E82">
        <v>4</v>
      </c>
      <c r="F82" t="s">
        <v>329</v>
      </c>
      <c r="G82" t="s">
        <v>330</v>
      </c>
      <c r="H82" t="s">
        <v>331</v>
      </c>
      <c r="I82" t="s">
        <v>332</v>
      </c>
      <c r="J82" t="s">
        <v>333</v>
      </c>
      <c r="K82" t="s">
        <v>85</v>
      </c>
      <c r="M82">
        <v>1913</v>
      </c>
      <c r="N82" t="s">
        <v>50</v>
      </c>
      <c r="O82" t="s">
        <v>86</v>
      </c>
      <c r="P82" t="s">
        <v>86</v>
      </c>
      <c r="Q82" t="s">
        <v>87</v>
      </c>
      <c r="R82" t="s">
        <v>334</v>
      </c>
    </row>
    <row r="83" spans="1:18">
      <c r="A83">
        <v>81</v>
      </c>
      <c r="B83" t="s">
        <v>18</v>
      </c>
      <c r="C83">
        <v>79</v>
      </c>
      <c r="D83">
        <v>131</v>
      </c>
      <c r="E83">
        <v>3.6</v>
      </c>
      <c r="F83" t="s">
        <v>335</v>
      </c>
      <c r="G83" t="s">
        <v>145</v>
      </c>
      <c r="H83" t="s">
        <v>146</v>
      </c>
      <c r="I83" t="s">
        <v>147</v>
      </c>
      <c r="J83" t="s">
        <v>336</v>
      </c>
      <c r="K83" t="s">
        <v>30</v>
      </c>
      <c r="L83">
        <v>200</v>
      </c>
      <c r="M83">
        <v>2001</v>
      </c>
      <c r="N83" t="s">
        <v>31</v>
      </c>
      <c r="O83" t="s">
        <v>98</v>
      </c>
      <c r="P83" t="s">
        <v>38</v>
      </c>
      <c r="Q83" t="s">
        <v>64</v>
      </c>
      <c r="R83" t="s">
        <v>39</v>
      </c>
    </row>
    <row r="84" spans="1:18">
      <c r="A84">
        <v>82</v>
      </c>
      <c r="B84" t="s">
        <v>195</v>
      </c>
      <c r="C84">
        <v>79</v>
      </c>
      <c r="D84">
        <v>131</v>
      </c>
      <c r="E84">
        <v>4.7</v>
      </c>
      <c r="F84" t="s">
        <v>337</v>
      </c>
      <c r="G84" t="s">
        <v>172</v>
      </c>
      <c r="H84" t="s">
        <v>173</v>
      </c>
      <c r="I84" t="s">
        <v>174</v>
      </c>
      <c r="J84" t="s">
        <v>338</v>
      </c>
      <c r="K84" t="s">
        <v>30</v>
      </c>
      <c r="L84">
        <v>200</v>
      </c>
      <c r="M84">
        <v>1996</v>
      </c>
      <c r="N84" t="s">
        <v>31</v>
      </c>
      <c r="O84" t="s">
        <v>75</v>
      </c>
      <c r="P84" t="s">
        <v>33</v>
      </c>
      <c r="Q84" t="s">
        <v>64</v>
      </c>
      <c r="R84" t="s">
        <v>339</v>
      </c>
    </row>
    <row r="85" spans="1:18">
      <c r="A85">
        <v>83</v>
      </c>
      <c r="B85" t="s">
        <v>18</v>
      </c>
      <c r="C85">
        <v>79</v>
      </c>
      <c r="D85">
        <v>131</v>
      </c>
      <c r="E85">
        <v>4.9000000000000004</v>
      </c>
      <c r="F85" t="s">
        <v>340</v>
      </c>
      <c r="G85" t="s">
        <v>341</v>
      </c>
      <c r="H85" t="s">
        <v>342</v>
      </c>
      <c r="I85" t="s">
        <v>343</v>
      </c>
      <c r="J85" t="s">
        <v>155</v>
      </c>
      <c r="K85" t="s">
        <v>67</v>
      </c>
      <c r="L85">
        <v>50</v>
      </c>
      <c r="M85">
        <v>2016</v>
      </c>
      <c r="N85" t="s">
        <v>31</v>
      </c>
      <c r="O85" t="s">
        <v>270</v>
      </c>
      <c r="P85" t="s">
        <v>33</v>
      </c>
      <c r="Q85" t="s">
        <v>27</v>
      </c>
      <c r="R85" t="s">
        <v>39</v>
      </c>
    </row>
    <row r="86" spans="1:18">
      <c r="A86">
        <v>84</v>
      </c>
      <c r="B86" t="s">
        <v>18</v>
      </c>
      <c r="C86">
        <v>79</v>
      </c>
      <c r="D86">
        <v>131</v>
      </c>
      <c r="E86">
        <v>4.3</v>
      </c>
      <c r="F86" t="s">
        <v>344</v>
      </c>
      <c r="G86" t="s">
        <v>345</v>
      </c>
      <c r="H86" t="s">
        <v>214</v>
      </c>
      <c r="I86" t="s">
        <v>215</v>
      </c>
      <c r="J86" t="s">
        <v>346</v>
      </c>
      <c r="K86" t="s">
        <v>30</v>
      </c>
      <c r="L86">
        <v>200</v>
      </c>
      <c r="M86">
        <v>1999</v>
      </c>
      <c r="N86" t="s">
        <v>31</v>
      </c>
      <c r="O86" t="s">
        <v>37</v>
      </c>
      <c r="P86" t="s">
        <v>38</v>
      </c>
      <c r="Q86" t="s">
        <v>64</v>
      </c>
      <c r="R86" t="s">
        <v>39</v>
      </c>
    </row>
    <row r="87" spans="1:18">
      <c r="A87">
        <v>85</v>
      </c>
      <c r="B87" t="s">
        <v>112</v>
      </c>
      <c r="C87">
        <v>79</v>
      </c>
      <c r="D87">
        <v>131</v>
      </c>
      <c r="E87">
        <v>4</v>
      </c>
      <c r="F87" t="s">
        <v>347</v>
      </c>
      <c r="G87" t="s">
        <v>129</v>
      </c>
      <c r="H87" t="s">
        <v>120</v>
      </c>
      <c r="I87" t="s">
        <v>121</v>
      </c>
      <c r="J87" t="s">
        <v>36</v>
      </c>
      <c r="K87" t="s">
        <v>23</v>
      </c>
      <c r="L87">
        <v>5000</v>
      </c>
      <c r="M87">
        <v>2010</v>
      </c>
      <c r="N87" t="s">
        <v>31</v>
      </c>
      <c r="O87" t="s">
        <v>41</v>
      </c>
      <c r="P87" t="s">
        <v>38</v>
      </c>
      <c r="Q87" t="s">
        <v>27</v>
      </c>
      <c r="R87" t="s">
        <v>348</v>
      </c>
    </row>
    <row r="88" spans="1:18">
      <c r="A88">
        <v>86</v>
      </c>
      <c r="B88" t="s">
        <v>99</v>
      </c>
      <c r="C88">
        <v>79</v>
      </c>
      <c r="D88">
        <v>131</v>
      </c>
      <c r="E88">
        <v>2.6</v>
      </c>
      <c r="F88" t="s">
        <v>349</v>
      </c>
      <c r="G88" t="s">
        <v>350</v>
      </c>
      <c r="H88" t="s">
        <v>179</v>
      </c>
      <c r="I88" t="s">
        <v>145</v>
      </c>
      <c r="J88" t="s">
        <v>351</v>
      </c>
      <c r="K88" t="s">
        <v>56</v>
      </c>
      <c r="L88">
        <v>1000</v>
      </c>
      <c r="M88">
        <v>1971</v>
      </c>
      <c r="N88" t="s">
        <v>24</v>
      </c>
      <c r="O88" t="s">
        <v>204</v>
      </c>
      <c r="P88" t="s">
        <v>205</v>
      </c>
      <c r="Q88" t="s">
        <v>27</v>
      </c>
      <c r="R88" t="s">
        <v>39</v>
      </c>
    </row>
    <row r="89" spans="1:18">
      <c r="A89">
        <v>87</v>
      </c>
      <c r="B89" t="s">
        <v>18</v>
      </c>
      <c r="C89">
        <v>79</v>
      </c>
      <c r="D89">
        <v>131</v>
      </c>
      <c r="E89">
        <v>4.5</v>
      </c>
      <c r="F89" t="s">
        <v>352</v>
      </c>
      <c r="G89" t="s">
        <v>353</v>
      </c>
      <c r="H89" t="s">
        <v>120</v>
      </c>
      <c r="I89" t="s">
        <v>121</v>
      </c>
      <c r="J89" t="s">
        <v>354</v>
      </c>
      <c r="K89" t="s">
        <v>30</v>
      </c>
      <c r="L89">
        <v>200</v>
      </c>
      <c r="M89">
        <v>2003</v>
      </c>
      <c r="N89" t="s">
        <v>31</v>
      </c>
      <c r="O89" t="s">
        <v>37</v>
      </c>
      <c r="P89" t="s">
        <v>38</v>
      </c>
      <c r="Q89" t="s">
        <v>140</v>
      </c>
      <c r="R89" t="s">
        <v>39</v>
      </c>
    </row>
    <row r="90" spans="1:18">
      <c r="A90">
        <v>88</v>
      </c>
      <c r="B90" t="s">
        <v>103</v>
      </c>
      <c r="C90">
        <v>79</v>
      </c>
      <c r="D90">
        <v>131</v>
      </c>
      <c r="E90">
        <v>4.8</v>
      </c>
      <c r="F90" t="s">
        <v>105</v>
      </c>
      <c r="G90" t="s">
        <v>70</v>
      </c>
      <c r="H90" t="s">
        <v>71</v>
      </c>
      <c r="I90" t="s">
        <v>72</v>
      </c>
      <c r="J90" t="s">
        <v>73</v>
      </c>
      <c r="K90" t="s">
        <v>106</v>
      </c>
      <c r="L90">
        <v>500</v>
      </c>
      <c r="M90">
        <v>2012</v>
      </c>
      <c r="N90" t="s">
        <v>31</v>
      </c>
      <c r="O90" t="s">
        <v>37</v>
      </c>
      <c r="P90" t="s">
        <v>38</v>
      </c>
      <c r="Q90" t="s">
        <v>27</v>
      </c>
      <c r="R90" t="s">
        <v>39</v>
      </c>
    </row>
    <row r="91" spans="1:18">
      <c r="A91">
        <v>89</v>
      </c>
      <c r="B91" t="s">
        <v>18</v>
      </c>
      <c r="C91">
        <v>79</v>
      </c>
      <c r="D91">
        <v>131</v>
      </c>
      <c r="E91">
        <v>3.9</v>
      </c>
      <c r="F91" t="s">
        <v>355</v>
      </c>
      <c r="G91" t="s">
        <v>192</v>
      </c>
      <c r="H91" t="s">
        <v>112</v>
      </c>
      <c r="I91" t="s">
        <v>193</v>
      </c>
      <c r="J91" t="s">
        <v>55</v>
      </c>
      <c r="K91" t="s">
        <v>85</v>
      </c>
      <c r="M91">
        <v>1911</v>
      </c>
      <c r="N91" t="s">
        <v>31</v>
      </c>
      <c r="O91" t="s">
        <v>356</v>
      </c>
      <c r="P91" t="s">
        <v>80</v>
      </c>
      <c r="Q91" t="s">
        <v>87</v>
      </c>
      <c r="R91" t="s">
        <v>39</v>
      </c>
    </row>
    <row r="92" spans="1:18">
      <c r="A92">
        <v>90</v>
      </c>
      <c r="B92" t="s">
        <v>18</v>
      </c>
      <c r="C92">
        <v>79</v>
      </c>
      <c r="D92">
        <v>131</v>
      </c>
      <c r="E92">
        <v>4</v>
      </c>
      <c r="F92" t="s">
        <v>329</v>
      </c>
      <c r="G92" t="s">
        <v>330</v>
      </c>
      <c r="H92" t="s">
        <v>331</v>
      </c>
      <c r="I92" t="s">
        <v>332</v>
      </c>
      <c r="J92" t="s">
        <v>333</v>
      </c>
      <c r="K92" t="s">
        <v>85</v>
      </c>
      <c r="M92">
        <v>1913</v>
      </c>
      <c r="N92" t="s">
        <v>50</v>
      </c>
      <c r="O92" t="s">
        <v>86</v>
      </c>
      <c r="P92" t="s">
        <v>86</v>
      </c>
      <c r="Q92" t="s">
        <v>87</v>
      </c>
      <c r="R92" t="s">
        <v>334</v>
      </c>
    </row>
    <row r="93" spans="1:18">
      <c r="A93">
        <v>91</v>
      </c>
      <c r="B93" t="s">
        <v>103</v>
      </c>
      <c r="C93">
        <v>79</v>
      </c>
      <c r="D93">
        <v>131</v>
      </c>
      <c r="E93">
        <v>4.4000000000000004</v>
      </c>
      <c r="F93" t="s">
        <v>357</v>
      </c>
      <c r="G93" t="s">
        <v>358</v>
      </c>
      <c r="H93" t="s">
        <v>46</v>
      </c>
      <c r="I93" t="s">
        <v>47</v>
      </c>
      <c r="J93" t="s">
        <v>55</v>
      </c>
      <c r="K93" t="s">
        <v>30</v>
      </c>
      <c r="L93">
        <v>200</v>
      </c>
      <c r="M93">
        <v>1999</v>
      </c>
      <c r="N93" t="s">
        <v>31</v>
      </c>
      <c r="O93" t="s">
        <v>98</v>
      </c>
      <c r="P93" t="s">
        <v>38</v>
      </c>
      <c r="Q93" t="s">
        <v>359</v>
      </c>
      <c r="R93" t="s">
        <v>39</v>
      </c>
    </row>
    <row r="94" spans="1:18">
      <c r="A94">
        <v>92</v>
      </c>
      <c r="B94" t="s">
        <v>18</v>
      </c>
      <c r="C94">
        <v>79</v>
      </c>
      <c r="D94">
        <v>131</v>
      </c>
      <c r="E94">
        <v>4.2</v>
      </c>
      <c r="F94" t="s">
        <v>44</v>
      </c>
      <c r="G94" t="s">
        <v>360</v>
      </c>
      <c r="H94" t="s">
        <v>46</v>
      </c>
      <c r="I94" t="s">
        <v>47</v>
      </c>
      <c r="J94" t="s">
        <v>48</v>
      </c>
      <c r="K94" t="s">
        <v>49</v>
      </c>
      <c r="L94">
        <v>10000</v>
      </c>
      <c r="M94">
        <v>1968</v>
      </c>
      <c r="N94" t="s">
        <v>50</v>
      </c>
      <c r="O94" t="s">
        <v>51</v>
      </c>
      <c r="P94" t="s">
        <v>33</v>
      </c>
      <c r="Q94" t="s">
        <v>52</v>
      </c>
      <c r="R94" t="s">
        <v>39</v>
      </c>
    </row>
    <row r="95" spans="1:18">
      <c r="A95">
        <v>93</v>
      </c>
      <c r="B95" t="s">
        <v>18</v>
      </c>
      <c r="C95">
        <v>79</v>
      </c>
      <c r="D95">
        <v>131</v>
      </c>
      <c r="E95">
        <v>3.6</v>
      </c>
      <c r="F95" t="s">
        <v>361</v>
      </c>
      <c r="G95" t="s">
        <v>192</v>
      </c>
      <c r="H95" t="s">
        <v>362</v>
      </c>
      <c r="I95" t="s">
        <v>363</v>
      </c>
      <c r="J95" t="s">
        <v>364</v>
      </c>
      <c r="K95" t="s">
        <v>106</v>
      </c>
      <c r="L95">
        <v>500</v>
      </c>
      <c r="M95">
        <v>1997</v>
      </c>
      <c r="N95" t="s">
        <v>31</v>
      </c>
      <c r="O95" t="s">
        <v>365</v>
      </c>
      <c r="P95" t="s">
        <v>102</v>
      </c>
      <c r="Q95" t="s">
        <v>27</v>
      </c>
      <c r="R95" t="s">
        <v>39</v>
      </c>
    </row>
    <row r="96" spans="1:18">
      <c r="A96">
        <v>94</v>
      </c>
      <c r="B96" t="s">
        <v>18</v>
      </c>
      <c r="C96">
        <v>99</v>
      </c>
      <c r="D96">
        <v>132</v>
      </c>
      <c r="E96">
        <v>3.4</v>
      </c>
      <c r="F96" t="s">
        <v>144</v>
      </c>
      <c r="G96" t="s">
        <v>145</v>
      </c>
      <c r="H96" t="s">
        <v>146</v>
      </c>
      <c r="I96" t="s">
        <v>147</v>
      </c>
      <c r="J96" t="s">
        <v>148</v>
      </c>
      <c r="K96" t="s">
        <v>23</v>
      </c>
      <c r="L96">
        <v>5000</v>
      </c>
      <c r="M96">
        <v>1986</v>
      </c>
      <c r="N96" t="s">
        <v>31</v>
      </c>
      <c r="O96" t="s">
        <v>75</v>
      </c>
      <c r="P96" t="s">
        <v>33</v>
      </c>
      <c r="Q96" t="s">
        <v>42</v>
      </c>
      <c r="R96" t="s">
        <v>39</v>
      </c>
    </row>
    <row r="97" spans="1:18">
      <c r="A97">
        <v>95</v>
      </c>
      <c r="B97" t="s">
        <v>18</v>
      </c>
      <c r="C97">
        <v>99</v>
      </c>
      <c r="D97">
        <v>132</v>
      </c>
      <c r="E97">
        <v>4.4000000000000004</v>
      </c>
      <c r="F97" t="s">
        <v>123</v>
      </c>
      <c r="G97" t="s">
        <v>124</v>
      </c>
      <c r="H97" t="s">
        <v>120</v>
      </c>
      <c r="I97" t="s">
        <v>121</v>
      </c>
      <c r="J97" t="s">
        <v>125</v>
      </c>
      <c r="K97" t="s">
        <v>49</v>
      </c>
      <c r="L97">
        <v>10000</v>
      </c>
      <c r="M97">
        <v>1983</v>
      </c>
      <c r="N97" t="s">
        <v>50</v>
      </c>
      <c r="O97" t="s">
        <v>37</v>
      </c>
      <c r="P97" t="s">
        <v>38</v>
      </c>
      <c r="Q97" t="s">
        <v>126</v>
      </c>
      <c r="R97" t="s">
        <v>127</v>
      </c>
    </row>
    <row r="98" spans="1:18">
      <c r="A98">
        <v>96</v>
      </c>
      <c r="B98" t="s">
        <v>112</v>
      </c>
      <c r="C98">
        <v>99</v>
      </c>
      <c r="D98">
        <v>132</v>
      </c>
      <c r="E98">
        <v>3.5</v>
      </c>
      <c r="F98" t="s">
        <v>366</v>
      </c>
      <c r="G98" t="s">
        <v>367</v>
      </c>
      <c r="H98" t="s">
        <v>46</v>
      </c>
      <c r="I98" t="s">
        <v>47</v>
      </c>
      <c r="J98" t="s">
        <v>368</v>
      </c>
      <c r="K98" t="s">
        <v>30</v>
      </c>
      <c r="L98">
        <v>200</v>
      </c>
      <c r="M98">
        <v>2015</v>
      </c>
      <c r="N98" t="s">
        <v>31</v>
      </c>
      <c r="O98" t="s">
        <v>57</v>
      </c>
      <c r="P98" t="s">
        <v>38</v>
      </c>
      <c r="Q98" t="s">
        <v>140</v>
      </c>
      <c r="R98" t="s">
        <v>39</v>
      </c>
    </row>
    <row r="99" spans="1:18">
      <c r="A99">
        <v>97</v>
      </c>
      <c r="B99" t="s">
        <v>18</v>
      </c>
      <c r="C99">
        <v>99</v>
      </c>
      <c r="D99">
        <v>132</v>
      </c>
      <c r="E99">
        <v>3.9</v>
      </c>
      <c r="F99" t="s">
        <v>355</v>
      </c>
      <c r="G99" t="s">
        <v>20</v>
      </c>
      <c r="H99" t="s">
        <v>21</v>
      </c>
      <c r="I99" t="s">
        <v>20</v>
      </c>
      <c r="J99" t="s">
        <v>55</v>
      </c>
      <c r="K99" t="s">
        <v>85</v>
      </c>
      <c r="M99">
        <v>1911</v>
      </c>
      <c r="N99" t="s">
        <v>31</v>
      </c>
      <c r="O99" t="s">
        <v>356</v>
      </c>
      <c r="P99" t="s">
        <v>80</v>
      </c>
      <c r="Q99" t="s">
        <v>87</v>
      </c>
      <c r="R99" t="s">
        <v>39</v>
      </c>
    </row>
    <row r="100" spans="1:18">
      <c r="A100">
        <v>98</v>
      </c>
      <c r="B100" t="s">
        <v>18</v>
      </c>
      <c r="C100">
        <v>99</v>
      </c>
      <c r="D100">
        <v>132</v>
      </c>
      <c r="E100">
        <v>3.8</v>
      </c>
      <c r="F100" t="s">
        <v>369</v>
      </c>
      <c r="G100" t="s">
        <v>370</v>
      </c>
      <c r="H100" t="s">
        <v>342</v>
      </c>
      <c r="I100" t="s">
        <v>343</v>
      </c>
      <c r="J100" t="s">
        <v>371</v>
      </c>
      <c r="K100" t="s">
        <v>30</v>
      </c>
      <c r="L100">
        <v>200</v>
      </c>
      <c r="M100">
        <v>2009</v>
      </c>
      <c r="N100" t="s">
        <v>31</v>
      </c>
      <c r="O100" t="s">
        <v>32</v>
      </c>
      <c r="P100" t="s">
        <v>33</v>
      </c>
      <c r="Q100" t="s">
        <v>140</v>
      </c>
      <c r="R100" t="s">
        <v>372</v>
      </c>
    </row>
    <row r="101" spans="1:18">
      <c r="A101">
        <v>99</v>
      </c>
      <c r="B101" t="s">
        <v>18</v>
      </c>
      <c r="C101">
        <v>99</v>
      </c>
      <c r="D101">
        <v>132</v>
      </c>
      <c r="E101">
        <v>3.5</v>
      </c>
      <c r="F101" t="s">
        <v>373</v>
      </c>
      <c r="G101" t="s">
        <v>145</v>
      </c>
      <c r="H101" t="s">
        <v>146</v>
      </c>
      <c r="I101" t="s">
        <v>147</v>
      </c>
      <c r="J101" t="s">
        <v>194</v>
      </c>
      <c r="K101" t="s">
        <v>23</v>
      </c>
      <c r="L101">
        <v>5000</v>
      </c>
      <c r="M101">
        <v>1959</v>
      </c>
      <c r="N101" t="s">
        <v>374</v>
      </c>
      <c r="O101" t="s">
        <v>365</v>
      </c>
      <c r="P101" t="s">
        <v>102</v>
      </c>
      <c r="Q101" t="s">
        <v>87</v>
      </c>
      <c r="R101" t="s">
        <v>375</v>
      </c>
    </row>
    <row r="102" spans="1:18">
      <c r="A102">
        <v>100</v>
      </c>
      <c r="B102" t="s">
        <v>18</v>
      </c>
      <c r="C102">
        <v>99</v>
      </c>
      <c r="D102">
        <v>132</v>
      </c>
      <c r="E102">
        <v>4.9000000000000004</v>
      </c>
      <c r="F102" t="s">
        <v>376</v>
      </c>
      <c r="G102" t="s">
        <v>192</v>
      </c>
      <c r="H102" t="s">
        <v>244</v>
      </c>
      <c r="I102" t="s">
        <v>245</v>
      </c>
      <c r="J102" t="s">
        <v>377</v>
      </c>
      <c r="K102" t="s">
        <v>67</v>
      </c>
      <c r="L102">
        <v>50</v>
      </c>
      <c r="M102">
        <v>2013</v>
      </c>
      <c r="N102" t="s">
        <v>31</v>
      </c>
      <c r="O102" t="s">
        <v>57</v>
      </c>
      <c r="P102" t="s">
        <v>38</v>
      </c>
      <c r="Q102" t="s">
        <v>378</v>
      </c>
      <c r="R102" t="s">
        <v>39</v>
      </c>
    </row>
    <row r="103" spans="1:18">
      <c r="A103">
        <v>101</v>
      </c>
      <c r="B103" t="s">
        <v>103</v>
      </c>
      <c r="C103">
        <v>99</v>
      </c>
      <c r="D103">
        <v>132</v>
      </c>
      <c r="E103">
        <v>4.4000000000000004</v>
      </c>
      <c r="F103" t="s">
        <v>379</v>
      </c>
      <c r="G103" t="s">
        <v>380</v>
      </c>
      <c r="H103" t="s">
        <v>342</v>
      </c>
      <c r="I103" t="s">
        <v>343</v>
      </c>
      <c r="J103" t="s">
        <v>381</v>
      </c>
      <c r="K103" t="s">
        <v>67</v>
      </c>
      <c r="L103">
        <v>50</v>
      </c>
      <c r="M103">
        <v>2007</v>
      </c>
      <c r="N103" t="s">
        <v>31</v>
      </c>
      <c r="O103" t="s">
        <v>96</v>
      </c>
      <c r="P103" t="s">
        <v>96</v>
      </c>
      <c r="Q103" t="s">
        <v>27</v>
      </c>
      <c r="R103" t="s">
        <v>39</v>
      </c>
    </row>
    <row r="104" spans="1:18">
      <c r="A104">
        <v>102</v>
      </c>
      <c r="B104" t="s">
        <v>18</v>
      </c>
      <c r="C104">
        <v>99</v>
      </c>
      <c r="D104">
        <v>132</v>
      </c>
      <c r="E104">
        <v>4.0999999999999996</v>
      </c>
      <c r="F104" t="s">
        <v>382</v>
      </c>
      <c r="G104" t="s">
        <v>119</v>
      </c>
      <c r="H104" t="s">
        <v>120</v>
      </c>
      <c r="I104" t="s">
        <v>121</v>
      </c>
      <c r="J104" t="s">
        <v>383</v>
      </c>
      <c r="K104" t="s">
        <v>30</v>
      </c>
      <c r="L104">
        <v>200</v>
      </c>
      <c r="M104">
        <v>2012</v>
      </c>
      <c r="N104" t="s">
        <v>31</v>
      </c>
      <c r="O104" t="s">
        <v>41</v>
      </c>
      <c r="P104" t="s">
        <v>38</v>
      </c>
      <c r="Q104" t="s">
        <v>27</v>
      </c>
      <c r="R104" t="s">
        <v>39</v>
      </c>
    </row>
    <row r="105" spans="1:18">
      <c r="A105">
        <v>103</v>
      </c>
      <c r="B105" t="s">
        <v>18</v>
      </c>
      <c r="C105">
        <v>99</v>
      </c>
      <c r="D105">
        <v>132</v>
      </c>
      <c r="E105">
        <v>4</v>
      </c>
      <c r="F105" t="s">
        <v>305</v>
      </c>
      <c r="G105" t="s">
        <v>129</v>
      </c>
      <c r="H105" t="s">
        <v>120</v>
      </c>
      <c r="I105" t="s">
        <v>121</v>
      </c>
      <c r="J105" t="s">
        <v>306</v>
      </c>
      <c r="K105" t="s">
        <v>49</v>
      </c>
      <c r="L105">
        <v>10000</v>
      </c>
      <c r="M105">
        <v>1982</v>
      </c>
      <c r="N105" t="s">
        <v>50</v>
      </c>
      <c r="O105" t="s">
        <v>37</v>
      </c>
      <c r="P105" t="s">
        <v>38</v>
      </c>
      <c r="Q105" t="s">
        <v>126</v>
      </c>
      <c r="R105" t="s">
        <v>39</v>
      </c>
    </row>
    <row r="106" spans="1:18">
      <c r="A106">
        <v>104</v>
      </c>
      <c r="B106" t="s">
        <v>18</v>
      </c>
      <c r="C106">
        <v>99</v>
      </c>
      <c r="D106">
        <v>132</v>
      </c>
      <c r="E106">
        <v>4.4000000000000004</v>
      </c>
      <c r="F106" t="s">
        <v>123</v>
      </c>
      <c r="G106" t="s">
        <v>124</v>
      </c>
      <c r="H106" t="s">
        <v>120</v>
      </c>
      <c r="I106" t="s">
        <v>121</v>
      </c>
      <c r="J106" t="s">
        <v>125</v>
      </c>
      <c r="K106" t="s">
        <v>49</v>
      </c>
      <c r="L106">
        <v>10000</v>
      </c>
      <c r="M106">
        <v>1983</v>
      </c>
      <c r="N106" t="s">
        <v>50</v>
      </c>
      <c r="O106" t="s">
        <v>37</v>
      </c>
      <c r="P106" t="s">
        <v>38</v>
      </c>
      <c r="Q106" t="s">
        <v>126</v>
      </c>
      <c r="R106" t="s">
        <v>127</v>
      </c>
    </row>
    <row r="107" spans="1:18">
      <c r="A107">
        <v>105</v>
      </c>
      <c r="B107" t="s">
        <v>18</v>
      </c>
      <c r="C107">
        <v>99</v>
      </c>
      <c r="D107">
        <v>132</v>
      </c>
      <c r="E107">
        <v>3.8</v>
      </c>
      <c r="F107" t="s">
        <v>384</v>
      </c>
      <c r="G107" t="s">
        <v>385</v>
      </c>
      <c r="H107" t="s">
        <v>362</v>
      </c>
      <c r="I107" t="s">
        <v>363</v>
      </c>
      <c r="J107" t="s">
        <v>386</v>
      </c>
      <c r="K107" t="s">
        <v>56</v>
      </c>
      <c r="L107">
        <v>1000</v>
      </c>
      <c r="M107">
        <v>1973</v>
      </c>
      <c r="N107" t="s">
        <v>31</v>
      </c>
      <c r="O107" t="s">
        <v>96</v>
      </c>
      <c r="P107" t="s">
        <v>96</v>
      </c>
      <c r="Q107" t="s">
        <v>198</v>
      </c>
      <c r="R107" t="s">
        <v>39</v>
      </c>
    </row>
    <row r="108" spans="1:18">
      <c r="A108">
        <v>106</v>
      </c>
      <c r="B108" t="s">
        <v>195</v>
      </c>
      <c r="C108">
        <v>99</v>
      </c>
      <c r="D108">
        <v>132</v>
      </c>
      <c r="E108">
        <v>3.2</v>
      </c>
      <c r="F108" t="s">
        <v>387</v>
      </c>
      <c r="G108" t="s">
        <v>388</v>
      </c>
      <c r="H108" t="s">
        <v>115</v>
      </c>
      <c r="I108" t="s">
        <v>116</v>
      </c>
      <c r="J108" t="s">
        <v>389</v>
      </c>
      <c r="K108" t="s">
        <v>56</v>
      </c>
      <c r="L108">
        <v>1000</v>
      </c>
      <c r="M108">
        <v>1981</v>
      </c>
      <c r="N108" t="s">
        <v>50</v>
      </c>
      <c r="O108" t="s">
        <v>204</v>
      </c>
      <c r="P108" t="s">
        <v>205</v>
      </c>
      <c r="Q108" t="s">
        <v>27</v>
      </c>
      <c r="R108" t="s">
        <v>39</v>
      </c>
    </row>
    <row r="109" spans="1:18">
      <c r="A109">
        <v>107</v>
      </c>
      <c r="B109" t="s">
        <v>195</v>
      </c>
      <c r="C109">
        <v>99</v>
      </c>
      <c r="D109">
        <v>132</v>
      </c>
      <c r="E109">
        <v>2.9</v>
      </c>
      <c r="F109" t="s">
        <v>390</v>
      </c>
      <c r="G109" t="s">
        <v>391</v>
      </c>
      <c r="H109" t="s">
        <v>273</v>
      </c>
      <c r="I109" t="s">
        <v>274</v>
      </c>
      <c r="J109" t="s">
        <v>392</v>
      </c>
      <c r="K109" t="s">
        <v>30</v>
      </c>
      <c r="L109">
        <v>200</v>
      </c>
      <c r="M109">
        <v>2011</v>
      </c>
      <c r="N109" t="s">
        <v>31</v>
      </c>
      <c r="O109" t="s">
        <v>86</v>
      </c>
      <c r="P109" t="s">
        <v>86</v>
      </c>
      <c r="Q109" t="s">
        <v>140</v>
      </c>
      <c r="R109" t="s">
        <v>39</v>
      </c>
    </row>
    <row r="110" spans="1:18">
      <c r="A110">
        <v>108</v>
      </c>
      <c r="B110" t="s">
        <v>18</v>
      </c>
      <c r="C110">
        <v>99</v>
      </c>
      <c r="D110">
        <v>132</v>
      </c>
      <c r="E110">
        <v>4.0999999999999996</v>
      </c>
      <c r="F110" t="s">
        <v>393</v>
      </c>
      <c r="G110" t="s">
        <v>124</v>
      </c>
      <c r="H110" t="s">
        <v>120</v>
      </c>
      <c r="I110" t="s">
        <v>121</v>
      </c>
      <c r="J110" t="s">
        <v>139</v>
      </c>
      <c r="K110" t="s">
        <v>85</v>
      </c>
      <c r="M110">
        <v>1939</v>
      </c>
      <c r="N110" t="s">
        <v>50</v>
      </c>
      <c r="O110" t="s">
        <v>37</v>
      </c>
      <c r="P110" t="s">
        <v>38</v>
      </c>
      <c r="Q110" t="s">
        <v>27</v>
      </c>
      <c r="R110" t="s">
        <v>39</v>
      </c>
    </row>
    <row r="111" spans="1:18">
      <c r="A111">
        <v>109</v>
      </c>
      <c r="B111" t="s">
        <v>18</v>
      </c>
      <c r="C111">
        <v>99</v>
      </c>
      <c r="D111">
        <v>132</v>
      </c>
      <c r="E111">
        <v>3.7</v>
      </c>
      <c r="F111" t="s">
        <v>394</v>
      </c>
      <c r="G111" t="s">
        <v>45</v>
      </c>
      <c r="H111" t="s">
        <v>46</v>
      </c>
      <c r="I111" t="s">
        <v>47</v>
      </c>
      <c r="J111" t="s">
        <v>368</v>
      </c>
      <c r="K111" t="s">
        <v>85</v>
      </c>
      <c r="M111">
        <v>2013</v>
      </c>
      <c r="N111" t="s">
        <v>50</v>
      </c>
      <c r="O111" t="s">
        <v>57</v>
      </c>
      <c r="P111" t="s">
        <v>38</v>
      </c>
      <c r="Q111" t="s">
        <v>359</v>
      </c>
      <c r="R111" t="s">
        <v>395</v>
      </c>
    </row>
    <row r="112" spans="1:18">
      <c r="A112">
        <v>110</v>
      </c>
      <c r="B112" t="s">
        <v>99</v>
      </c>
      <c r="C112">
        <v>99</v>
      </c>
      <c r="D112">
        <v>132</v>
      </c>
      <c r="E112">
        <v>3.2</v>
      </c>
      <c r="F112" t="s">
        <v>396</v>
      </c>
      <c r="G112" t="s">
        <v>397</v>
      </c>
      <c r="H112" t="s">
        <v>209</v>
      </c>
      <c r="I112" t="s">
        <v>210</v>
      </c>
      <c r="J112" t="s">
        <v>22</v>
      </c>
      <c r="K112" t="s">
        <v>23</v>
      </c>
      <c r="L112">
        <v>5000</v>
      </c>
      <c r="M112">
        <v>1967</v>
      </c>
      <c r="N112" t="s">
        <v>50</v>
      </c>
      <c r="O112" t="s">
        <v>101</v>
      </c>
      <c r="P112" t="s">
        <v>102</v>
      </c>
      <c r="Q112" t="s">
        <v>126</v>
      </c>
      <c r="R112" t="s">
        <v>39</v>
      </c>
    </row>
    <row r="113" spans="1:18">
      <c r="A113">
        <v>111</v>
      </c>
      <c r="B113" t="s">
        <v>99</v>
      </c>
      <c r="C113">
        <v>99</v>
      </c>
      <c r="D113">
        <v>132</v>
      </c>
      <c r="E113">
        <v>4.9000000000000004</v>
      </c>
      <c r="F113" t="s">
        <v>398</v>
      </c>
      <c r="G113" t="s">
        <v>399</v>
      </c>
      <c r="H113" t="s">
        <v>331</v>
      </c>
      <c r="I113" t="s">
        <v>332</v>
      </c>
      <c r="J113" t="s">
        <v>400</v>
      </c>
      <c r="K113" t="s">
        <v>30</v>
      </c>
      <c r="L113">
        <v>200</v>
      </c>
      <c r="M113">
        <v>2013</v>
      </c>
      <c r="N113" t="s">
        <v>284</v>
      </c>
      <c r="O113" t="s">
        <v>401</v>
      </c>
      <c r="P113" t="s">
        <v>402</v>
      </c>
      <c r="Q113" t="s">
        <v>27</v>
      </c>
      <c r="R113" t="s">
        <v>39</v>
      </c>
    </row>
    <row r="114" spans="1:18">
      <c r="A114">
        <v>112</v>
      </c>
      <c r="B114" t="s">
        <v>18</v>
      </c>
      <c r="C114">
        <v>99</v>
      </c>
      <c r="D114">
        <v>132</v>
      </c>
      <c r="E114">
        <v>3.5</v>
      </c>
      <c r="F114" t="s">
        <v>403</v>
      </c>
      <c r="G114" t="s">
        <v>54</v>
      </c>
      <c r="H114" t="s">
        <v>46</v>
      </c>
      <c r="I114" t="s">
        <v>47</v>
      </c>
      <c r="J114" t="s">
        <v>404</v>
      </c>
      <c r="K114" t="s">
        <v>49</v>
      </c>
      <c r="L114">
        <v>10000</v>
      </c>
      <c r="M114">
        <v>-1</v>
      </c>
      <c r="N114" t="s">
        <v>50</v>
      </c>
      <c r="O114" t="s">
        <v>96</v>
      </c>
      <c r="P114" t="s">
        <v>96</v>
      </c>
      <c r="Q114" t="s">
        <v>126</v>
      </c>
      <c r="R114" t="s">
        <v>39</v>
      </c>
    </row>
    <row r="115" spans="1:18">
      <c r="A115">
        <v>113</v>
      </c>
      <c r="B115" t="s">
        <v>195</v>
      </c>
      <c r="C115">
        <v>99</v>
      </c>
      <c r="D115">
        <v>132</v>
      </c>
      <c r="E115">
        <v>5</v>
      </c>
      <c r="F115" t="s">
        <v>405</v>
      </c>
      <c r="G115" t="s">
        <v>406</v>
      </c>
      <c r="H115" t="s">
        <v>120</v>
      </c>
      <c r="I115" t="s">
        <v>121</v>
      </c>
      <c r="J115" t="s">
        <v>407</v>
      </c>
      <c r="K115" t="s">
        <v>67</v>
      </c>
      <c r="L115">
        <v>50</v>
      </c>
      <c r="M115">
        <v>2016</v>
      </c>
      <c r="N115" t="s">
        <v>31</v>
      </c>
      <c r="O115" t="s">
        <v>37</v>
      </c>
      <c r="P115" t="s">
        <v>38</v>
      </c>
      <c r="Q115" t="s">
        <v>27</v>
      </c>
      <c r="R115" t="s">
        <v>39</v>
      </c>
    </row>
    <row r="116" spans="1:18">
      <c r="A116">
        <v>114</v>
      </c>
      <c r="B116" t="s">
        <v>18</v>
      </c>
      <c r="C116">
        <v>99</v>
      </c>
      <c r="D116">
        <v>132</v>
      </c>
      <c r="E116">
        <v>4</v>
      </c>
      <c r="F116" t="s">
        <v>408</v>
      </c>
      <c r="G116" t="s">
        <v>367</v>
      </c>
      <c r="H116" t="s">
        <v>46</v>
      </c>
      <c r="I116" t="s">
        <v>47</v>
      </c>
      <c r="J116" t="s">
        <v>368</v>
      </c>
      <c r="K116" t="s">
        <v>23</v>
      </c>
      <c r="L116">
        <v>5000</v>
      </c>
      <c r="M116">
        <v>1996</v>
      </c>
      <c r="N116" t="s">
        <v>24</v>
      </c>
      <c r="O116" t="s">
        <v>75</v>
      </c>
      <c r="P116" t="s">
        <v>33</v>
      </c>
      <c r="Q116" t="s">
        <v>42</v>
      </c>
      <c r="R116" t="s">
        <v>409</v>
      </c>
    </row>
    <row r="117" spans="1:18">
      <c r="A117">
        <v>115</v>
      </c>
      <c r="B117" t="s">
        <v>18</v>
      </c>
      <c r="C117">
        <v>99</v>
      </c>
      <c r="D117">
        <v>132</v>
      </c>
      <c r="E117">
        <v>3.6</v>
      </c>
      <c r="F117" t="s">
        <v>410</v>
      </c>
      <c r="G117" t="s">
        <v>20</v>
      </c>
      <c r="H117" t="s">
        <v>21</v>
      </c>
      <c r="I117" t="s">
        <v>20</v>
      </c>
      <c r="J117" t="s">
        <v>22</v>
      </c>
      <c r="K117" t="s">
        <v>67</v>
      </c>
      <c r="L117">
        <v>50</v>
      </c>
      <c r="M117">
        <v>2016</v>
      </c>
      <c r="N117" t="s">
        <v>31</v>
      </c>
      <c r="O117" t="s">
        <v>204</v>
      </c>
      <c r="P117" t="s">
        <v>205</v>
      </c>
      <c r="Q117" t="s">
        <v>27</v>
      </c>
      <c r="R117" t="s">
        <v>39</v>
      </c>
    </row>
    <row r="118" spans="1:18">
      <c r="A118">
        <v>116</v>
      </c>
      <c r="B118" t="s">
        <v>112</v>
      </c>
      <c r="C118">
        <v>99</v>
      </c>
      <c r="D118">
        <v>132</v>
      </c>
      <c r="E118">
        <v>4</v>
      </c>
      <c r="F118" t="s">
        <v>411</v>
      </c>
      <c r="G118" t="s">
        <v>412</v>
      </c>
      <c r="H118" t="s">
        <v>331</v>
      </c>
      <c r="I118" t="s">
        <v>332</v>
      </c>
      <c r="J118" t="s">
        <v>413</v>
      </c>
      <c r="K118" t="s">
        <v>30</v>
      </c>
      <c r="L118">
        <v>200</v>
      </c>
      <c r="M118">
        <v>2002</v>
      </c>
      <c r="N118" t="s">
        <v>31</v>
      </c>
      <c r="O118" t="s">
        <v>37</v>
      </c>
      <c r="P118" t="s">
        <v>38</v>
      </c>
      <c r="Q118" t="s">
        <v>359</v>
      </c>
      <c r="R118" t="s">
        <v>39</v>
      </c>
    </row>
    <row r="119" spans="1:18">
      <c r="A119">
        <v>117</v>
      </c>
      <c r="B119" t="s">
        <v>99</v>
      </c>
      <c r="C119">
        <v>99</v>
      </c>
      <c r="D119">
        <v>132</v>
      </c>
      <c r="E119">
        <v>3.2</v>
      </c>
      <c r="F119" t="s">
        <v>396</v>
      </c>
      <c r="G119" t="s">
        <v>397</v>
      </c>
      <c r="H119" t="s">
        <v>209</v>
      </c>
      <c r="I119" t="s">
        <v>210</v>
      </c>
      <c r="J119" t="s">
        <v>22</v>
      </c>
      <c r="K119" t="s">
        <v>23</v>
      </c>
      <c r="L119">
        <v>5000</v>
      </c>
      <c r="M119">
        <v>1967</v>
      </c>
      <c r="N119" t="s">
        <v>50</v>
      </c>
      <c r="O119" t="s">
        <v>101</v>
      </c>
      <c r="P119" t="s">
        <v>102</v>
      </c>
      <c r="Q119" t="s">
        <v>126</v>
      </c>
      <c r="R119" t="s">
        <v>39</v>
      </c>
    </row>
    <row r="120" spans="1:18">
      <c r="A120">
        <v>118</v>
      </c>
      <c r="B120" t="s">
        <v>112</v>
      </c>
      <c r="C120">
        <v>99</v>
      </c>
      <c r="D120">
        <v>132</v>
      </c>
      <c r="E120">
        <v>5</v>
      </c>
      <c r="F120" t="s">
        <v>134</v>
      </c>
      <c r="G120" t="s">
        <v>135</v>
      </c>
      <c r="H120" t="s">
        <v>120</v>
      </c>
      <c r="I120" t="s">
        <v>121</v>
      </c>
      <c r="J120" t="s">
        <v>136</v>
      </c>
      <c r="K120" t="s">
        <v>30</v>
      </c>
      <c r="L120">
        <v>200</v>
      </c>
      <c r="M120">
        <v>2019</v>
      </c>
      <c r="N120" t="s">
        <v>31</v>
      </c>
      <c r="O120" t="s">
        <v>86</v>
      </c>
      <c r="P120" t="s">
        <v>86</v>
      </c>
      <c r="Q120" t="s">
        <v>27</v>
      </c>
      <c r="R120" t="s">
        <v>39</v>
      </c>
    </row>
    <row r="121" spans="1:18">
      <c r="A121">
        <v>119</v>
      </c>
      <c r="B121" t="s">
        <v>195</v>
      </c>
      <c r="C121">
        <v>99</v>
      </c>
      <c r="D121">
        <v>132</v>
      </c>
      <c r="E121">
        <v>4.8</v>
      </c>
      <c r="F121" t="s">
        <v>414</v>
      </c>
      <c r="G121" t="s">
        <v>415</v>
      </c>
      <c r="H121" t="s">
        <v>331</v>
      </c>
      <c r="I121" t="s">
        <v>332</v>
      </c>
      <c r="J121" t="s">
        <v>416</v>
      </c>
      <c r="K121" t="s">
        <v>106</v>
      </c>
      <c r="L121">
        <v>500</v>
      </c>
      <c r="M121">
        <v>2000</v>
      </c>
      <c r="N121" t="s">
        <v>31</v>
      </c>
      <c r="O121" t="s">
        <v>204</v>
      </c>
      <c r="P121" t="s">
        <v>205</v>
      </c>
      <c r="Q121" t="s">
        <v>198</v>
      </c>
      <c r="R121" t="s">
        <v>417</v>
      </c>
    </row>
    <row r="122" spans="1:18">
      <c r="A122">
        <v>120</v>
      </c>
      <c r="B122" t="s">
        <v>18</v>
      </c>
      <c r="C122">
        <v>99</v>
      </c>
      <c r="D122">
        <v>132</v>
      </c>
      <c r="E122">
        <v>4.5</v>
      </c>
      <c r="F122" t="s">
        <v>418</v>
      </c>
      <c r="G122" t="s">
        <v>419</v>
      </c>
      <c r="H122" t="s">
        <v>259</v>
      </c>
      <c r="I122" t="s">
        <v>260</v>
      </c>
      <c r="J122" t="s">
        <v>420</v>
      </c>
      <c r="K122" t="s">
        <v>30</v>
      </c>
      <c r="L122">
        <v>200</v>
      </c>
      <c r="M122">
        <v>2006</v>
      </c>
      <c r="N122" t="s">
        <v>31</v>
      </c>
      <c r="O122" t="s">
        <v>75</v>
      </c>
      <c r="P122" t="s">
        <v>33</v>
      </c>
      <c r="Q122" t="s">
        <v>27</v>
      </c>
      <c r="R122" t="s">
        <v>421</v>
      </c>
    </row>
    <row r="123" spans="1:18">
      <c r="A123">
        <v>121</v>
      </c>
      <c r="B123" t="s">
        <v>195</v>
      </c>
      <c r="C123">
        <v>99</v>
      </c>
      <c r="D123">
        <v>132</v>
      </c>
      <c r="E123">
        <v>4.7</v>
      </c>
      <c r="F123" t="s">
        <v>422</v>
      </c>
      <c r="G123" t="s">
        <v>129</v>
      </c>
      <c r="H123" t="s">
        <v>120</v>
      </c>
      <c r="I123" t="s">
        <v>121</v>
      </c>
      <c r="J123" t="s">
        <v>36</v>
      </c>
      <c r="K123" t="s">
        <v>30</v>
      </c>
      <c r="L123">
        <v>200</v>
      </c>
      <c r="M123">
        <v>2015</v>
      </c>
      <c r="N123" t="s">
        <v>31</v>
      </c>
      <c r="O123" t="s">
        <v>41</v>
      </c>
      <c r="P123" t="s">
        <v>38</v>
      </c>
      <c r="Q123" t="s">
        <v>27</v>
      </c>
      <c r="R123" t="s">
        <v>39</v>
      </c>
    </row>
    <row r="124" spans="1:18">
      <c r="A124">
        <v>122</v>
      </c>
      <c r="B124" t="s">
        <v>18</v>
      </c>
      <c r="C124">
        <v>99</v>
      </c>
      <c r="D124">
        <v>132</v>
      </c>
      <c r="E124">
        <v>4.5</v>
      </c>
      <c r="F124" t="s">
        <v>53</v>
      </c>
      <c r="G124" t="s">
        <v>54</v>
      </c>
      <c r="H124" t="s">
        <v>46</v>
      </c>
      <c r="I124" t="s">
        <v>47</v>
      </c>
      <c r="J124" t="s">
        <v>55</v>
      </c>
      <c r="K124" t="s">
        <v>56</v>
      </c>
      <c r="L124">
        <v>1000</v>
      </c>
      <c r="M124">
        <v>2012</v>
      </c>
      <c r="N124" t="s">
        <v>31</v>
      </c>
      <c r="O124" t="s">
        <v>57</v>
      </c>
      <c r="P124" t="s">
        <v>38</v>
      </c>
      <c r="Q124" t="s">
        <v>42</v>
      </c>
      <c r="R124" t="s">
        <v>58</v>
      </c>
    </row>
    <row r="125" spans="1:18">
      <c r="A125">
        <v>123</v>
      </c>
      <c r="B125" t="s">
        <v>195</v>
      </c>
      <c r="C125">
        <v>99</v>
      </c>
      <c r="D125">
        <v>132</v>
      </c>
      <c r="E125">
        <v>4.2</v>
      </c>
      <c r="F125" t="s">
        <v>300</v>
      </c>
      <c r="G125" t="s">
        <v>301</v>
      </c>
      <c r="H125" t="s">
        <v>163</v>
      </c>
      <c r="I125" t="s">
        <v>164</v>
      </c>
      <c r="J125" t="s">
        <v>302</v>
      </c>
      <c r="K125" t="s">
        <v>30</v>
      </c>
      <c r="L125">
        <v>200</v>
      </c>
      <c r="M125">
        <v>2006</v>
      </c>
      <c r="N125" t="s">
        <v>50</v>
      </c>
      <c r="O125" t="s">
        <v>32</v>
      </c>
      <c r="P125" t="s">
        <v>33</v>
      </c>
      <c r="Q125" t="s">
        <v>64</v>
      </c>
      <c r="R125" t="s">
        <v>303</v>
      </c>
    </row>
    <row r="126" spans="1:18">
      <c r="A126">
        <v>124</v>
      </c>
      <c r="B126" t="s">
        <v>112</v>
      </c>
      <c r="C126">
        <v>99</v>
      </c>
      <c r="D126">
        <v>132</v>
      </c>
      <c r="E126">
        <v>3.4</v>
      </c>
      <c r="F126" t="s">
        <v>423</v>
      </c>
      <c r="G126" t="s">
        <v>424</v>
      </c>
      <c r="H126" t="s">
        <v>153</v>
      </c>
      <c r="I126" t="s">
        <v>154</v>
      </c>
      <c r="J126" t="s">
        <v>425</v>
      </c>
      <c r="K126" t="s">
        <v>30</v>
      </c>
      <c r="L126">
        <v>200</v>
      </c>
      <c r="M126">
        <v>2006</v>
      </c>
      <c r="N126" t="s">
        <v>31</v>
      </c>
      <c r="O126" t="s">
        <v>426</v>
      </c>
      <c r="P126" t="s">
        <v>267</v>
      </c>
      <c r="Q126" t="s">
        <v>27</v>
      </c>
      <c r="R126" t="s">
        <v>39</v>
      </c>
    </row>
    <row r="127" spans="1:18">
      <c r="A127">
        <v>125</v>
      </c>
      <c r="B127" t="s">
        <v>18</v>
      </c>
      <c r="C127">
        <v>99</v>
      </c>
      <c r="D127">
        <v>132</v>
      </c>
      <c r="E127">
        <v>3.8</v>
      </c>
      <c r="F127" t="s">
        <v>427</v>
      </c>
      <c r="G127" t="s">
        <v>428</v>
      </c>
      <c r="H127" t="s">
        <v>120</v>
      </c>
      <c r="I127" t="s">
        <v>121</v>
      </c>
      <c r="J127" t="s">
        <v>429</v>
      </c>
      <c r="K127" t="s">
        <v>49</v>
      </c>
      <c r="L127">
        <v>10000</v>
      </c>
      <c r="M127">
        <v>1996</v>
      </c>
      <c r="N127" t="s">
        <v>50</v>
      </c>
      <c r="O127" t="s">
        <v>430</v>
      </c>
      <c r="P127" t="s">
        <v>431</v>
      </c>
      <c r="Q127" t="s">
        <v>126</v>
      </c>
      <c r="R127" t="s">
        <v>39</v>
      </c>
    </row>
    <row r="128" spans="1:18">
      <c r="A128">
        <v>126</v>
      </c>
      <c r="B128" t="s">
        <v>18</v>
      </c>
      <c r="C128">
        <v>90</v>
      </c>
      <c r="D128">
        <v>109</v>
      </c>
      <c r="E128">
        <v>4.7</v>
      </c>
      <c r="F128" t="s">
        <v>171</v>
      </c>
      <c r="G128" t="s">
        <v>172</v>
      </c>
      <c r="H128" t="s">
        <v>173</v>
      </c>
      <c r="I128" t="s">
        <v>174</v>
      </c>
      <c r="J128" t="s">
        <v>175</v>
      </c>
      <c r="K128" t="s">
        <v>30</v>
      </c>
      <c r="L128">
        <v>200</v>
      </c>
      <c r="M128">
        <v>2016</v>
      </c>
      <c r="N128" t="s">
        <v>31</v>
      </c>
      <c r="O128" t="s">
        <v>98</v>
      </c>
      <c r="P128" t="s">
        <v>38</v>
      </c>
      <c r="Q128" t="s">
        <v>27</v>
      </c>
      <c r="R128" t="s">
        <v>176</v>
      </c>
    </row>
    <row r="129" spans="1:18">
      <c r="A129">
        <v>127</v>
      </c>
      <c r="B129" t="s">
        <v>18</v>
      </c>
      <c r="C129">
        <v>90</v>
      </c>
      <c r="D129">
        <v>109</v>
      </c>
      <c r="E129">
        <v>3.6</v>
      </c>
      <c r="F129" t="s">
        <v>151</v>
      </c>
      <c r="G129" t="s">
        <v>152</v>
      </c>
      <c r="H129" t="s">
        <v>153</v>
      </c>
      <c r="I129" t="s">
        <v>154</v>
      </c>
      <c r="J129" t="s">
        <v>155</v>
      </c>
      <c r="K129" t="s">
        <v>30</v>
      </c>
      <c r="L129">
        <v>200</v>
      </c>
      <c r="M129">
        <v>2014</v>
      </c>
      <c r="N129" t="s">
        <v>31</v>
      </c>
      <c r="O129" t="s">
        <v>57</v>
      </c>
      <c r="P129" t="s">
        <v>38</v>
      </c>
      <c r="Q129" t="s">
        <v>27</v>
      </c>
      <c r="R129" t="s">
        <v>39</v>
      </c>
    </row>
    <row r="130" spans="1:18">
      <c r="A130">
        <v>128</v>
      </c>
      <c r="B130" t="s">
        <v>195</v>
      </c>
      <c r="C130">
        <v>90</v>
      </c>
      <c r="D130">
        <v>109</v>
      </c>
      <c r="E130">
        <v>4.2</v>
      </c>
      <c r="F130" t="s">
        <v>300</v>
      </c>
      <c r="G130" t="s">
        <v>301</v>
      </c>
      <c r="H130" t="s">
        <v>163</v>
      </c>
      <c r="I130" t="s">
        <v>164</v>
      </c>
      <c r="J130" t="s">
        <v>302</v>
      </c>
      <c r="K130" t="s">
        <v>30</v>
      </c>
      <c r="L130">
        <v>200</v>
      </c>
      <c r="M130">
        <v>2006</v>
      </c>
      <c r="N130" t="s">
        <v>50</v>
      </c>
      <c r="O130" t="s">
        <v>32</v>
      </c>
      <c r="P130" t="s">
        <v>33</v>
      </c>
      <c r="Q130" t="s">
        <v>64</v>
      </c>
      <c r="R130" t="s">
        <v>303</v>
      </c>
    </row>
    <row r="131" spans="1:18">
      <c r="A131">
        <v>129</v>
      </c>
      <c r="B131" t="s">
        <v>18</v>
      </c>
      <c r="C131">
        <v>90</v>
      </c>
      <c r="D131">
        <v>109</v>
      </c>
      <c r="E131">
        <v>3.8</v>
      </c>
      <c r="F131" t="s">
        <v>427</v>
      </c>
      <c r="G131" t="s">
        <v>428</v>
      </c>
      <c r="H131" t="s">
        <v>120</v>
      </c>
      <c r="I131" t="s">
        <v>121</v>
      </c>
      <c r="J131" t="s">
        <v>429</v>
      </c>
      <c r="K131" t="s">
        <v>49</v>
      </c>
      <c r="L131">
        <v>10000</v>
      </c>
      <c r="M131">
        <v>1996</v>
      </c>
      <c r="N131" t="s">
        <v>50</v>
      </c>
      <c r="O131" t="s">
        <v>430</v>
      </c>
      <c r="P131" t="s">
        <v>431</v>
      </c>
      <c r="Q131" t="s">
        <v>126</v>
      </c>
      <c r="R131" t="s">
        <v>39</v>
      </c>
    </row>
    <row r="132" spans="1:18">
      <c r="A132">
        <v>130</v>
      </c>
      <c r="B132" t="s">
        <v>18</v>
      </c>
      <c r="C132">
        <v>90</v>
      </c>
      <c r="D132">
        <v>109</v>
      </c>
      <c r="E132">
        <v>5</v>
      </c>
      <c r="F132" t="s">
        <v>432</v>
      </c>
      <c r="G132" t="s">
        <v>129</v>
      </c>
      <c r="H132" t="s">
        <v>120</v>
      </c>
      <c r="I132" t="s">
        <v>121</v>
      </c>
      <c r="J132" t="s">
        <v>36</v>
      </c>
      <c r="K132" t="s">
        <v>67</v>
      </c>
      <c r="L132">
        <v>50</v>
      </c>
      <c r="M132">
        <v>2016</v>
      </c>
      <c r="N132" t="s">
        <v>31</v>
      </c>
      <c r="O132" t="s">
        <v>57</v>
      </c>
      <c r="P132" t="s">
        <v>38</v>
      </c>
      <c r="Q132" t="s">
        <v>27</v>
      </c>
      <c r="R132" t="s">
        <v>39</v>
      </c>
    </row>
    <row r="133" spans="1:18">
      <c r="A133">
        <v>131</v>
      </c>
      <c r="B133" t="s">
        <v>195</v>
      </c>
      <c r="C133">
        <v>90</v>
      </c>
      <c r="D133">
        <v>109</v>
      </c>
      <c r="E133">
        <v>4.9000000000000004</v>
      </c>
      <c r="F133" t="s">
        <v>433</v>
      </c>
      <c r="G133" t="s">
        <v>434</v>
      </c>
      <c r="H133" t="s">
        <v>362</v>
      </c>
      <c r="I133" t="s">
        <v>363</v>
      </c>
      <c r="J133" t="s">
        <v>435</v>
      </c>
      <c r="K133" t="s">
        <v>106</v>
      </c>
      <c r="L133">
        <v>500</v>
      </c>
      <c r="M133">
        <v>2011</v>
      </c>
      <c r="N133" t="s">
        <v>31</v>
      </c>
      <c r="O133" t="s">
        <v>436</v>
      </c>
      <c r="P133" t="s">
        <v>102</v>
      </c>
      <c r="Q133" t="s">
        <v>198</v>
      </c>
      <c r="R133" t="s">
        <v>39</v>
      </c>
    </row>
    <row r="134" spans="1:18">
      <c r="A134">
        <v>132</v>
      </c>
      <c r="B134" t="s">
        <v>195</v>
      </c>
      <c r="C134">
        <v>90</v>
      </c>
      <c r="D134">
        <v>109</v>
      </c>
      <c r="E134">
        <v>4.4000000000000004</v>
      </c>
      <c r="F134" t="s">
        <v>437</v>
      </c>
      <c r="G134" t="s">
        <v>438</v>
      </c>
      <c r="H134" t="s">
        <v>120</v>
      </c>
      <c r="I134" t="s">
        <v>121</v>
      </c>
      <c r="J134" t="s">
        <v>22</v>
      </c>
      <c r="K134" t="s">
        <v>30</v>
      </c>
      <c r="L134">
        <v>200</v>
      </c>
      <c r="M134">
        <v>2003</v>
      </c>
      <c r="N134" t="s">
        <v>31</v>
      </c>
      <c r="O134" t="s">
        <v>32</v>
      </c>
      <c r="P134" t="s">
        <v>33</v>
      </c>
      <c r="Q134" t="s">
        <v>64</v>
      </c>
      <c r="R134" t="s">
        <v>39</v>
      </c>
    </row>
    <row r="135" spans="1:18">
      <c r="A135">
        <v>133</v>
      </c>
      <c r="B135" t="s">
        <v>18</v>
      </c>
      <c r="C135">
        <v>90</v>
      </c>
      <c r="D135">
        <v>109</v>
      </c>
      <c r="E135">
        <v>3.3</v>
      </c>
      <c r="F135" t="s">
        <v>439</v>
      </c>
      <c r="G135" t="s">
        <v>440</v>
      </c>
      <c r="H135" t="s">
        <v>441</v>
      </c>
      <c r="I135" t="s">
        <v>442</v>
      </c>
      <c r="J135" t="s">
        <v>443</v>
      </c>
      <c r="K135" t="s">
        <v>23</v>
      </c>
      <c r="L135">
        <v>5000</v>
      </c>
      <c r="M135">
        <v>2012</v>
      </c>
      <c r="N135" t="s">
        <v>31</v>
      </c>
      <c r="O135" t="s">
        <v>37</v>
      </c>
      <c r="P135" t="s">
        <v>38</v>
      </c>
      <c r="Q135" t="s">
        <v>42</v>
      </c>
      <c r="R135" t="s">
        <v>39</v>
      </c>
    </row>
    <row r="136" spans="1:18">
      <c r="A136">
        <v>134</v>
      </c>
      <c r="B136" t="s">
        <v>103</v>
      </c>
      <c r="C136">
        <v>90</v>
      </c>
      <c r="D136">
        <v>109</v>
      </c>
      <c r="E136">
        <v>3.2</v>
      </c>
      <c r="F136" t="s">
        <v>35</v>
      </c>
      <c r="G136" t="s">
        <v>192</v>
      </c>
      <c r="H136" t="s">
        <v>112</v>
      </c>
      <c r="I136" t="s">
        <v>193</v>
      </c>
      <c r="J136" t="s">
        <v>36</v>
      </c>
      <c r="K136" t="s">
        <v>30</v>
      </c>
      <c r="L136">
        <v>200</v>
      </c>
      <c r="M136">
        <v>2015</v>
      </c>
      <c r="N136" t="s">
        <v>31</v>
      </c>
      <c r="O136" t="s">
        <v>37</v>
      </c>
      <c r="P136" t="s">
        <v>38</v>
      </c>
      <c r="Q136" t="s">
        <v>27</v>
      </c>
      <c r="R136" t="s">
        <v>39</v>
      </c>
    </row>
    <row r="137" spans="1:18">
      <c r="A137">
        <v>135</v>
      </c>
      <c r="B137" t="s">
        <v>103</v>
      </c>
      <c r="C137">
        <v>90</v>
      </c>
      <c r="D137">
        <v>109</v>
      </c>
      <c r="E137">
        <v>3.2</v>
      </c>
      <c r="F137" t="s">
        <v>35</v>
      </c>
      <c r="G137" t="s">
        <v>192</v>
      </c>
      <c r="H137" t="s">
        <v>112</v>
      </c>
      <c r="I137" t="s">
        <v>193</v>
      </c>
      <c r="J137" t="s">
        <v>36</v>
      </c>
      <c r="K137" t="s">
        <v>30</v>
      </c>
      <c r="L137">
        <v>200</v>
      </c>
      <c r="M137">
        <v>2015</v>
      </c>
      <c r="N137" t="s">
        <v>31</v>
      </c>
      <c r="O137" t="s">
        <v>37</v>
      </c>
      <c r="P137" t="s">
        <v>38</v>
      </c>
      <c r="Q137" t="s">
        <v>27</v>
      </c>
      <c r="R137" t="s">
        <v>39</v>
      </c>
    </row>
    <row r="138" spans="1:18">
      <c r="A138">
        <v>136</v>
      </c>
      <c r="B138" t="s">
        <v>195</v>
      </c>
      <c r="C138">
        <v>90</v>
      </c>
      <c r="D138">
        <v>109</v>
      </c>
      <c r="E138">
        <v>4.9000000000000004</v>
      </c>
      <c r="F138" t="s">
        <v>433</v>
      </c>
      <c r="G138" t="s">
        <v>434</v>
      </c>
      <c r="H138" t="s">
        <v>362</v>
      </c>
      <c r="I138" t="s">
        <v>363</v>
      </c>
      <c r="J138" t="s">
        <v>435</v>
      </c>
      <c r="K138" t="s">
        <v>106</v>
      </c>
      <c r="L138">
        <v>500</v>
      </c>
      <c r="M138">
        <v>2011</v>
      </c>
      <c r="N138" t="s">
        <v>31</v>
      </c>
      <c r="O138" t="s">
        <v>436</v>
      </c>
      <c r="P138" t="s">
        <v>102</v>
      </c>
      <c r="Q138" t="s">
        <v>198</v>
      </c>
      <c r="R138" t="s">
        <v>39</v>
      </c>
    </row>
    <row r="139" spans="1:18">
      <c r="A139">
        <v>137</v>
      </c>
      <c r="B139" t="s">
        <v>18</v>
      </c>
      <c r="C139">
        <v>90</v>
      </c>
      <c r="D139">
        <v>109</v>
      </c>
      <c r="E139">
        <v>4.2</v>
      </c>
      <c r="F139" t="s">
        <v>444</v>
      </c>
      <c r="G139" t="s">
        <v>445</v>
      </c>
      <c r="H139" t="s">
        <v>120</v>
      </c>
      <c r="I139" t="s">
        <v>121</v>
      </c>
      <c r="J139" t="s">
        <v>383</v>
      </c>
      <c r="K139" t="s">
        <v>106</v>
      </c>
      <c r="L139">
        <v>500</v>
      </c>
      <c r="M139">
        <v>2012</v>
      </c>
      <c r="N139" t="s">
        <v>31</v>
      </c>
      <c r="O139" t="s">
        <v>436</v>
      </c>
      <c r="P139" t="s">
        <v>102</v>
      </c>
      <c r="Q139" t="s">
        <v>27</v>
      </c>
      <c r="R139" t="s">
        <v>39</v>
      </c>
    </row>
    <row r="140" spans="1:18">
      <c r="A140">
        <v>138</v>
      </c>
      <c r="B140" t="s">
        <v>99</v>
      </c>
      <c r="C140">
        <v>90</v>
      </c>
      <c r="D140">
        <v>109</v>
      </c>
      <c r="E140">
        <v>4.5</v>
      </c>
      <c r="F140" t="s">
        <v>269</v>
      </c>
      <c r="G140" t="s">
        <v>129</v>
      </c>
      <c r="H140" t="s">
        <v>120</v>
      </c>
      <c r="I140" t="s">
        <v>121</v>
      </c>
      <c r="J140" t="s">
        <v>175</v>
      </c>
      <c r="K140" t="s">
        <v>106</v>
      </c>
      <c r="L140">
        <v>500</v>
      </c>
      <c r="M140">
        <v>1994</v>
      </c>
      <c r="N140" t="s">
        <v>31</v>
      </c>
      <c r="O140" t="s">
        <v>270</v>
      </c>
      <c r="P140" t="s">
        <v>33</v>
      </c>
      <c r="Q140" t="s">
        <v>64</v>
      </c>
      <c r="R140" t="s">
        <v>39</v>
      </c>
    </row>
    <row r="141" spans="1:18">
      <c r="A141">
        <v>139</v>
      </c>
      <c r="B141" t="s">
        <v>195</v>
      </c>
      <c r="C141">
        <v>90</v>
      </c>
      <c r="D141">
        <v>109</v>
      </c>
      <c r="E141">
        <v>4.8</v>
      </c>
      <c r="F141" t="s">
        <v>446</v>
      </c>
      <c r="G141" t="s">
        <v>138</v>
      </c>
      <c r="H141" t="s">
        <v>120</v>
      </c>
      <c r="I141" t="s">
        <v>121</v>
      </c>
      <c r="J141" t="s">
        <v>139</v>
      </c>
      <c r="K141" t="s">
        <v>106</v>
      </c>
      <c r="L141">
        <v>500</v>
      </c>
      <c r="M141">
        <v>2012</v>
      </c>
      <c r="N141" t="s">
        <v>31</v>
      </c>
      <c r="O141" t="s">
        <v>401</v>
      </c>
      <c r="P141" t="s">
        <v>402</v>
      </c>
      <c r="Q141" t="s">
        <v>27</v>
      </c>
      <c r="R141" t="s">
        <v>39</v>
      </c>
    </row>
    <row r="142" spans="1:18">
      <c r="A142">
        <v>140</v>
      </c>
      <c r="B142" t="s">
        <v>112</v>
      </c>
      <c r="C142">
        <v>90</v>
      </c>
      <c r="D142">
        <v>109</v>
      </c>
      <c r="E142">
        <v>3.8</v>
      </c>
      <c r="F142" t="s">
        <v>447</v>
      </c>
      <c r="G142" t="s">
        <v>448</v>
      </c>
      <c r="H142" t="s">
        <v>71</v>
      </c>
      <c r="I142" t="s">
        <v>72</v>
      </c>
      <c r="J142" t="s">
        <v>449</v>
      </c>
      <c r="K142" t="s">
        <v>56</v>
      </c>
      <c r="L142">
        <v>1000</v>
      </c>
      <c r="M142">
        <v>1997</v>
      </c>
      <c r="N142" t="s">
        <v>24</v>
      </c>
      <c r="O142" t="s">
        <v>188</v>
      </c>
      <c r="P142" t="s">
        <v>182</v>
      </c>
      <c r="Q142" t="s">
        <v>27</v>
      </c>
      <c r="R142" t="s">
        <v>39</v>
      </c>
    </row>
    <row r="143" spans="1:18">
      <c r="A143">
        <v>141</v>
      </c>
      <c r="B143" t="s">
        <v>195</v>
      </c>
      <c r="C143">
        <v>90</v>
      </c>
      <c r="D143">
        <v>109</v>
      </c>
      <c r="E143">
        <v>3.7</v>
      </c>
      <c r="F143" t="s">
        <v>450</v>
      </c>
      <c r="G143" t="s">
        <v>152</v>
      </c>
      <c r="H143" t="s">
        <v>153</v>
      </c>
      <c r="I143" t="s">
        <v>154</v>
      </c>
      <c r="J143" t="s">
        <v>155</v>
      </c>
      <c r="K143" t="s">
        <v>23</v>
      </c>
      <c r="L143">
        <v>5000</v>
      </c>
      <c r="M143">
        <v>2001</v>
      </c>
      <c r="N143" t="s">
        <v>31</v>
      </c>
      <c r="O143" t="s">
        <v>57</v>
      </c>
      <c r="P143" t="s">
        <v>38</v>
      </c>
      <c r="Q143" t="s">
        <v>27</v>
      </c>
      <c r="R143" t="s">
        <v>39</v>
      </c>
    </row>
    <row r="144" spans="1:18">
      <c r="A144">
        <v>142</v>
      </c>
      <c r="B144" t="s">
        <v>18</v>
      </c>
      <c r="C144">
        <v>90</v>
      </c>
      <c r="D144">
        <v>109</v>
      </c>
      <c r="E144">
        <v>3.3</v>
      </c>
      <c r="F144" t="s">
        <v>451</v>
      </c>
      <c r="G144" t="s">
        <v>129</v>
      </c>
      <c r="H144" t="s">
        <v>120</v>
      </c>
      <c r="I144" t="s">
        <v>121</v>
      </c>
      <c r="J144" t="s">
        <v>36</v>
      </c>
      <c r="K144" t="s">
        <v>30</v>
      </c>
      <c r="L144">
        <v>200</v>
      </c>
      <c r="M144">
        <v>2013</v>
      </c>
      <c r="N144" t="s">
        <v>31</v>
      </c>
      <c r="O144" t="s">
        <v>79</v>
      </c>
      <c r="P144" t="s">
        <v>80</v>
      </c>
      <c r="Q144" t="s">
        <v>359</v>
      </c>
      <c r="R144" t="s">
        <v>39</v>
      </c>
    </row>
    <row r="145" spans="1:18">
      <c r="A145">
        <v>143</v>
      </c>
      <c r="B145" t="s">
        <v>18</v>
      </c>
      <c r="C145">
        <v>90</v>
      </c>
      <c r="D145">
        <v>109</v>
      </c>
      <c r="E145">
        <v>3.3</v>
      </c>
      <c r="F145" t="s">
        <v>452</v>
      </c>
      <c r="G145" t="s">
        <v>60</v>
      </c>
      <c r="H145" t="s">
        <v>46</v>
      </c>
      <c r="I145" t="s">
        <v>47</v>
      </c>
      <c r="J145" t="s">
        <v>90</v>
      </c>
      <c r="K145" t="s">
        <v>49</v>
      </c>
      <c r="L145">
        <v>10000</v>
      </c>
      <c r="M145">
        <v>1958</v>
      </c>
      <c r="N145" t="s">
        <v>24</v>
      </c>
      <c r="O145" t="s">
        <v>62</v>
      </c>
      <c r="P145" t="s">
        <v>63</v>
      </c>
      <c r="Q145" t="s">
        <v>52</v>
      </c>
      <c r="R145" t="s">
        <v>453</v>
      </c>
    </row>
    <row r="146" spans="1:18">
      <c r="A146">
        <v>144</v>
      </c>
      <c r="B146" t="s">
        <v>103</v>
      </c>
      <c r="C146">
        <v>90</v>
      </c>
      <c r="D146">
        <v>109</v>
      </c>
      <c r="E146">
        <v>5</v>
      </c>
      <c r="F146" t="s">
        <v>454</v>
      </c>
      <c r="G146" t="s">
        <v>54</v>
      </c>
      <c r="H146" t="s">
        <v>46</v>
      </c>
      <c r="I146" t="s">
        <v>47</v>
      </c>
      <c r="J146" t="s">
        <v>455</v>
      </c>
      <c r="K146" t="s">
        <v>67</v>
      </c>
      <c r="L146">
        <v>50</v>
      </c>
      <c r="M146">
        <v>2013</v>
      </c>
      <c r="N146" t="s">
        <v>31</v>
      </c>
      <c r="O146" t="s">
        <v>96</v>
      </c>
      <c r="P146" t="s">
        <v>96</v>
      </c>
      <c r="Q146" t="s">
        <v>140</v>
      </c>
      <c r="R146" t="s">
        <v>39</v>
      </c>
    </row>
    <row r="147" spans="1:18">
      <c r="A147">
        <v>145</v>
      </c>
      <c r="B147" t="s">
        <v>112</v>
      </c>
      <c r="C147">
        <v>90</v>
      </c>
      <c r="D147">
        <v>109</v>
      </c>
      <c r="E147">
        <v>3.8</v>
      </c>
      <c r="F147" t="s">
        <v>456</v>
      </c>
      <c r="G147" t="s">
        <v>415</v>
      </c>
      <c r="H147" t="s">
        <v>331</v>
      </c>
      <c r="I147" t="s">
        <v>332</v>
      </c>
      <c r="J147" t="s">
        <v>416</v>
      </c>
      <c r="K147" t="s">
        <v>56</v>
      </c>
      <c r="L147">
        <v>1000</v>
      </c>
      <c r="M147">
        <v>2013</v>
      </c>
      <c r="N147" t="s">
        <v>284</v>
      </c>
      <c r="O147" t="s">
        <v>86</v>
      </c>
      <c r="P147" t="s">
        <v>86</v>
      </c>
      <c r="Q147" t="s">
        <v>42</v>
      </c>
      <c r="R147" t="s">
        <v>457</v>
      </c>
    </row>
    <row r="148" spans="1:18">
      <c r="A148">
        <v>146</v>
      </c>
      <c r="B148" t="s">
        <v>18</v>
      </c>
      <c r="C148">
        <v>90</v>
      </c>
      <c r="D148">
        <v>109</v>
      </c>
      <c r="E148">
        <v>3.4</v>
      </c>
      <c r="F148" t="s">
        <v>458</v>
      </c>
      <c r="G148" t="s">
        <v>459</v>
      </c>
      <c r="H148" t="s">
        <v>244</v>
      </c>
      <c r="I148" t="s">
        <v>245</v>
      </c>
      <c r="J148" t="s">
        <v>73</v>
      </c>
      <c r="K148" t="s">
        <v>23</v>
      </c>
      <c r="L148">
        <v>5000</v>
      </c>
      <c r="M148">
        <v>1982</v>
      </c>
      <c r="N148" t="s">
        <v>31</v>
      </c>
      <c r="O148" t="s">
        <v>25</v>
      </c>
      <c r="P148" t="s">
        <v>26</v>
      </c>
      <c r="Q148" t="s">
        <v>140</v>
      </c>
      <c r="R148" t="s">
        <v>460</v>
      </c>
    </row>
    <row r="149" spans="1:18">
      <c r="A149">
        <v>147</v>
      </c>
      <c r="B149" t="s">
        <v>112</v>
      </c>
      <c r="C149">
        <v>90</v>
      </c>
      <c r="D149">
        <v>109</v>
      </c>
      <c r="E149">
        <v>2.4</v>
      </c>
      <c r="F149" t="s">
        <v>461</v>
      </c>
      <c r="G149" t="s">
        <v>124</v>
      </c>
      <c r="H149" t="s">
        <v>120</v>
      </c>
      <c r="I149" t="s">
        <v>121</v>
      </c>
      <c r="J149" t="s">
        <v>462</v>
      </c>
      <c r="K149" t="s">
        <v>56</v>
      </c>
      <c r="L149">
        <v>1000</v>
      </c>
      <c r="M149">
        <v>2006</v>
      </c>
      <c r="N149" t="s">
        <v>31</v>
      </c>
      <c r="O149" t="s">
        <v>86</v>
      </c>
      <c r="P149" t="s">
        <v>86</v>
      </c>
      <c r="Q149" t="s">
        <v>198</v>
      </c>
      <c r="R149" t="s">
        <v>39</v>
      </c>
    </row>
    <row r="150" spans="1:18">
      <c r="A150">
        <v>148</v>
      </c>
      <c r="B150" t="s">
        <v>18</v>
      </c>
      <c r="C150">
        <v>90</v>
      </c>
      <c r="D150">
        <v>109</v>
      </c>
      <c r="E150">
        <v>2.9</v>
      </c>
      <c r="F150" t="s">
        <v>463</v>
      </c>
      <c r="G150" t="s">
        <v>83</v>
      </c>
      <c r="H150" t="s">
        <v>71</v>
      </c>
      <c r="I150" t="s">
        <v>72</v>
      </c>
      <c r="J150" t="s">
        <v>108</v>
      </c>
      <c r="K150" t="s">
        <v>30</v>
      </c>
      <c r="L150">
        <v>200</v>
      </c>
      <c r="M150">
        <v>2000</v>
      </c>
      <c r="N150" t="s">
        <v>31</v>
      </c>
      <c r="O150" t="s">
        <v>86</v>
      </c>
      <c r="P150" t="s">
        <v>86</v>
      </c>
      <c r="Q150" t="s">
        <v>140</v>
      </c>
      <c r="R150" t="s">
        <v>39</v>
      </c>
    </row>
    <row r="151" spans="1:18">
      <c r="A151">
        <v>149</v>
      </c>
      <c r="B151" t="s">
        <v>112</v>
      </c>
      <c r="C151">
        <v>90</v>
      </c>
      <c r="D151">
        <v>109</v>
      </c>
      <c r="E151">
        <v>4.4000000000000004</v>
      </c>
      <c r="F151" t="s">
        <v>464</v>
      </c>
      <c r="G151" t="s">
        <v>465</v>
      </c>
      <c r="H151" t="s">
        <v>466</v>
      </c>
      <c r="I151" t="s">
        <v>467</v>
      </c>
      <c r="J151" t="s">
        <v>468</v>
      </c>
      <c r="K151" t="s">
        <v>106</v>
      </c>
      <c r="L151">
        <v>500</v>
      </c>
      <c r="M151">
        <v>1967</v>
      </c>
      <c r="N151" t="s">
        <v>31</v>
      </c>
      <c r="O151" t="s">
        <v>32</v>
      </c>
      <c r="P151" t="s">
        <v>33</v>
      </c>
      <c r="Q151" t="s">
        <v>27</v>
      </c>
      <c r="R151" t="s">
        <v>39</v>
      </c>
    </row>
    <row r="152" spans="1:18">
      <c r="A152">
        <v>150</v>
      </c>
      <c r="B152" t="s">
        <v>18</v>
      </c>
      <c r="C152">
        <v>90</v>
      </c>
      <c r="D152">
        <v>109</v>
      </c>
      <c r="E152">
        <v>2.9</v>
      </c>
      <c r="F152" t="s">
        <v>469</v>
      </c>
      <c r="G152" t="s">
        <v>470</v>
      </c>
      <c r="H152" t="s">
        <v>173</v>
      </c>
      <c r="I152" t="s">
        <v>174</v>
      </c>
      <c r="J152" t="s">
        <v>471</v>
      </c>
      <c r="K152" t="s">
        <v>85</v>
      </c>
      <c r="M152">
        <v>2016</v>
      </c>
      <c r="N152" t="s">
        <v>284</v>
      </c>
      <c r="O152" t="s">
        <v>472</v>
      </c>
      <c r="P152" t="s">
        <v>431</v>
      </c>
      <c r="Q152" t="s">
        <v>87</v>
      </c>
      <c r="R152" t="s">
        <v>39</v>
      </c>
    </row>
    <row r="153" spans="1:18">
      <c r="A153">
        <v>151</v>
      </c>
      <c r="B153" t="s">
        <v>112</v>
      </c>
      <c r="C153">
        <v>90</v>
      </c>
      <c r="D153">
        <v>109</v>
      </c>
      <c r="E153">
        <v>2.7</v>
      </c>
      <c r="F153" t="s">
        <v>473</v>
      </c>
      <c r="G153" t="s">
        <v>474</v>
      </c>
      <c r="H153" t="s">
        <v>331</v>
      </c>
      <c r="I153" t="s">
        <v>332</v>
      </c>
      <c r="J153" t="s">
        <v>336</v>
      </c>
      <c r="K153" t="s">
        <v>106</v>
      </c>
      <c r="L153">
        <v>500</v>
      </c>
      <c r="M153">
        <v>1961</v>
      </c>
      <c r="N153" t="s">
        <v>31</v>
      </c>
      <c r="O153" t="s">
        <v>86</v>
      </c>
      <c r="P153" t="s">
        <v>86</v>
      </c>
      <c r="Q153" t="s">
        <v>198</v>
      </c>
      <c r="R153" t="s">
        <v>39</v>
      </c>
    </row>
    <row r="154" spans="1:18">
      <c r="A154">
        <v>152</v>
      </c>
      <c r="B154" t="s">
        <v>195</v>
      </c>
      <c r="C154">
        <v>90</v>
      </c>
      <c r="D154">
        <v>109</v>
      </c>
      <c r="E154">
        <v>4.2</v>
      </c>
      <c r="F154" t="s">
        <v>475</v>
      </c>
      <c r="G154" t="s">
        <v>476</v>
      </c>
      <c r="H154" t="s">
        <v>120</v>
      </c>
      <c r="I154" t="s">
        <v>121</v>
      </c>
      <c r="J154" t="s">
        <v>477</v>
      </c>
      <c r="K154" t="s">
        <v>23</v>
      </c>
      <c r="L154">
        <v>5000</v>
      </c>
      <c r="M154">
        <v>2002</v>
      </c>
      <c r="N154" t="s">
        <v>31</v>
      </c>
      <c r="O154" t="s">
        <v>37</v>
      </c>
      <c r="P154" t="s">
        <v>38</v>
      </c>
      <c r="Q154" t="s">
        <v>27</v>
      </c>
      <c r="R154" t="s">
        <v>39</v>
      </c>
    </row>
    <row r="155" spans="1:18">
      <c r="A155">
        <v>153</v>
      </c>
      <c r="B155" t="s">
        <v>112</v>
      </c>
      <c r="C155">
        <v>90</v>
      </c>
      <c r="D155">
        <v>109</v>
      </c>
      <c r="E155">
        <v>3.5</v>
      </c>
      <c r="F155" t="s">
        <v>478</v>
      </c>
      <c r="G155" t="s">
        <v>479</v>
      </c>
      <c r="H155" t="s">
        <v>480</v>
      </c>
      <c r="I155" t="s">
        <v>481</v>
      </c>
      <c r="J155" t="s">
        <v>482</v>
      </c>
      <c r="K155" t="s">
        <v>106</v>
      </c>
      <c r="L155">
        <v>500</v>
      </c>
      <c r="M155">
        <v>1995</v>
      </c>
      <c r="N155" t="s">
        <v>31</v>
      </c>
      <c r="O155" t="s">
        <v>86</v>
      </c>
      <c r="P155" t="s">
        <v>86</v>
      </c>
      <c r="Q155" t="s">
        <v>42</v>
      </c>
      <c r="R155" t="s">
        <v>39</v>
      </c>
    </row>
    <row r="156" spans="1:18">
      <c r="A156">
        <v>155</v>
      </c>
      <c r="B156" t="s">
        <v>18</v>
      </c>
      <c r="C156">
        <v>90</v>
      </c>
      <c r="D156">
        <v>109</v>
      </c>
      <c r="E156">
        <v>4.2</v>
      </c>
      <c r="F156" t="s">
        <v>483</v>
      </c>
      <c r="G156" t="s">
        <v>172</v>
      </c>
      <c r="H156" t="s">
        <v>173</v>
      </c>
      <c r="I156" t="s">
        <v>174</v>
      </c>
      <c r="J156" t="s">
        <v>484</v>
      </c>
      <c r="K156" t="s">
        <v>85</v>
      </c>
      <c r="M156">
        <v>1963</v>
      </c>
      <c r="N156" t="s">
        <v>31</v>
      </c>
      <c r="O156" t="s">
        <v>86</v>
      </c>
      <c r="P156" t="s">
        <v>86</v>
      </c>
      <c r="Q156" t="s">
        <v>126</v>
      </c>
      <c r="R156" t="s">
        <v>39</v>
      </c>
    </row>
    <row r="157" spans="1:18">
      <c r="A157">
        <v>156</v>
      </c>
      <c r="B157" t="s">
        <v>18</v>
      </c>
      <c r="C157">
        <v>101</v>
      </c>
      <c r="D157">
        <v>165</v>
      </c>
      <c r="E157">
        <v>4.5</v>
      </c>
      <c r="F157" t="s">
        <v>53</v>
      </c>
      <c r="G157" t="s">
        <v>54</v>
      </c>
      <c r="H157" t="s">
        <v>46</v>
      </c>
      <c r="I157" t="s">
        <v>47</v>
      </c>
      <c r="J157" t="s">
        <v>55</v>
      </c>
      <c r="K157" t="s">
        <v>56</v>
      </c>
      <c r="L157">
        <v>1000</v>
      </c>
      <c r="M157">
        <v>2012</v>
      </c>
      <c r="N157" t="s">
        <v>31</v>
      </c>
      <c r="O157" t="s">
        <v>57</v>
      </c>
      <c r="P157" t="s">
        <v>38</v>
      </c>
      <c r="Q157" t="s">
        <v>42</v>
      </c>
      <c r="R157" t="s">
        <v>58</v>
      </c>
    </row>
    <row r="158" spans="1:18">
      <c r="A158">
        <v>157</v>
      </c>
      <c r="B158" t="s">
        <v>18</v>
      </c>
      <c r="C158">
        <v>101</v>
      </c>
      <c r="D158">
        <v>165</v>
      </c>
      <c r="E158">
        <v>4.4000000000000004</v>
      </c>
      <c r="F158" t="s">
        <v>149</v>
      </c>
      <c r="G158" t="s">
        <v>145</v>
      </c>
      <c r="H158" t="s">
        <v>146</v>
      </c>
      <c r="I158" t="s">
        <v>147</v>
      </c>
      <c r="J158" t="s">
        <v>150</v>
      </c>
      <c r="K158" t="s">
        <v>67</v>
      </c>
      <c r="L158">
        <v>50</v>
      </c>
      <c r="M158">
        <v>1997</v>
      </c>
      <c r="N158" t="s">
        <v>31</v>
      </c>
      <c r="O158" t="s">
        <v>62</v>
      </c>
      <c r="P158" t="s">
        <v>63</v>
      </c>
      <c r="Q158" t="s">
        <v>27</v>
      </c>
      <c r="R158" t="s">
        <v>39</v>
      </c>
    </row>
    <row r="159" spans="1:18">
      <c r="A159">
        <v>159</v>
      </c>
      <c r="B159" t="s">
        <v>18</v>
      </c>
      <c r="C159">
        <v>101</v>
      </c>
      <c r="D159">
        <v>165</v>
      </c>
      <c r="E159">
        <v>3.5</v>
      </c>
      <c r="F159" t="s">
        <v>485</v>
      </c>
      <c r="G159" t="s">
        <v>486</v>
      </c>
      <c r="H159" t="s">
        <v>331</v>
      </c>
      <c r="I159" t="s">
        <v>332</v>
      </c>
      <c r="J159" t="s">
        <v>368</v>
      </c>
      <c r="K159" t="s">
        <v>85</v>
      </c>
      <c r="M159">
        <v>1969</v>
      </c>
      <c r="N159" t="s">
        <v>50</v>
      </c>
      <c r="O159" t="s">
        <v>96</v>
      </c>
      <c r="P159" t="s">
        <v>96</v>
      </c>
      <c r="Q159" t="s">
        <v>87</v>
      </c>
      <c r="R159" t="s">
        <v>39</v>
      </c>
    </row>
    <row r="160" spans="1:18">
      <c r="A160">
        <v>160</v>
      </c>
      <c r="B160" t="s">
        <v>18</v>
      </c>
      <c r="C160">
        <v>101</v>
      </c>
      <c r="D160">
        <v>165</v>
      </c>
      <c r="E160">
        <v>4.5</v>
      </c>
      <c r="F160" t="s">
        <v>487</v>
      </c>
      <c r="G160" t="s">
        <v>129</v>
      </c>
      <c r="H160" t="s">
        <v>120</v>
      </c>
      <c r="I160" t="s">
        <v>121</v>
      </c>
      <c r="J160" t="s">
        <v>36</v>
      </c>
      <c r="K160" t="s">
        <v>106</v>
      </c>
      <c r="L160">
        <v>500</v>
      </c>
      <c r="M160">
        <v>2006</v>
      </c>
      <c r="N160" t="s">
        <v>31</v>
      </c>
      <c r="O160" t="s">
        <v>37</v>
      </c>
      <c r="P160" t="s">
        <v>38</v>
      </c>
      <c r="Q160" t="s">
        <v>42</v>
      </c>
      <c r="R160" t="s">
        <v>488</v>
      </c>
    </row>
    <row r="161" spans="1:18">
      <c r="A161">
        <v>161</v>
      </c>
      <c r="B161" t="s">
        <v>99</v>
      </c>
      <c r="C161">
        <v>101</v>
      </c>
      <c r="D161">
        <v>165</v>
      </c>
      <c r="E161">
        <v>4.0999999999999996</v>
      </c>
      <c r="F161" t="s">
        <v>489</v>
      </c>
      <c r="G161" t="s">
        <v>479</v>
      </c>
      <c r="H161" t="s">
        <v>173</v>
      </c>
      <c r="I161" t="s">
        <v>174</v>
      </c>
      <c r="J161" t="s">
        <v>490</v>
      </c>
      <c r="K161" t="s">
        <v>23</v>
      </c>
      <c r="L161">
        <v>5000</v>
      </c>
      <c r="M161">
        <v>1946</v>
      </c>
      <c r="N161" t="s">
        <v>31</v>
      </c>
      <c r="O161" t="s">
        <v>25</v>
      </c>
      <c r="P161" t="s">
        <v>26</v>
      </c>
      <c r="Q161" t="s">
        <v>52</v>
      </c>
      <c r="R161" t="s">
        <v>39</v>
      </c>
    </row>
    <row r="162" spans="1:18">
      <c r="A162">
        <v>162</v>
      </c>
      <c r="B162" t="s">
        <v>18</v>
      </c>
      <c r="C162">
        <v>101</v>
      </c>
      <c r="D162">
        <v>165</v>
      </c>
      <c r="E162">
        <v>3.5</v>
      </c>
      <c r="F162" t="s">
        <v>403</v>
      </c>
      <c r="G162" t="s">
        <v>45</v>
      </c>
      <c r="H162" t="s">
        <v>46</v>
      </c>
      <c r="I162" t="s">
        <v>47</v>
      </c>
      <c r="J162" t="s">
        <v>404</v>
      </c>
      <c r="K162" t="s">
        <v>49</v>
      </c>
      <c r="L162">
        <v>10000</v>
      </c>
      <c r="M162">
        <v>-1</v>
      </c>
      <c r="N162" t="s">
        <v>50</v>
      </c>
      <c r="O162" t="s">
        <v>96</v>
      </c>
      <c r="P162" t="s">
        <v>96</v>
      </c>
      <c r="Q162" t="s">
        <v>126</v>
      </c>
      <c r="R162" t="s">
        <v>39</v>
      </c>
    </row>
    <row r="163" spans="1:18">
      <c r="A163">
        <v>163</v>
      </c>
      <c r="B163" t="s">
        <v>99</v>
      </c>
      <c r="C163">
        <v>101</v>
      </c>
      <c r="D163">
        <v>165</v>
      </c>
      <c r="E163">
        <v>2.7</v>
      </c>
      <c r="F163" t="s">
        <v>491</v>
      </c>
      <c r="G163" t="s">
        <v>145</v>
      </c>
      <c r="H163" t="s">
        <v>146</v>
      </c>
      <c r="I163" t="s">
        <v>147</v>
      </c>
      <c r="J163" t="s">
        <v>194</v>
      </c>
      <c r="K163" t="s">
        <v>56</v>
      </c>
      <c r="L163">
        <v>1000</v>
      </c>
      <c r="M163">
        <v>1997</v>
      </c>
      <c r="N163" t="s">
        <v>24</v>
      </c>
      <c r="O163" t="s">
        <v>430</v>
      </c>
      <c r="P163" t="s">
        <v>431</v>
      </c>
      <c r="Q163" t="s">
        <v>64</v>
      </c>
      <c r="R163" t="s">
        <v>39</v>
      </c>
    </row>
    <row r="164" spans="1:18">
      <c r="A164">
        <v>164</v>
      </c>
      <c r="B164" t="s">
        <v>112</v>
      </c>
      <c r="C164">
        <v>101</v>
      </c>
      <c r="D164">
        <v>165</v>
      </c>
      <c r="E164">
        <v>3.4</v>
      </c>
      <c r="F164" t="s">
        <v>492</v>
      </c>
      <c r="G164" t="s">
        <v>493</v>
      </c>
      <c r="H164" t="s">
        <v>494</v>
      </c>
      <c r="I164" t="s">
        <v>495</v>
      </c>
      <c r="J164" t="s">
        <v>496</v>
      </c>
      <c r="K164" t="s">
        <v>85</v>
      </c>
      <c r="M164">
        <v>1996</v>
      </c>
      <c r="N164" t="s">
        <v>284</v>
      </c>
      <c r="O164" t="s">
        <v>98</v>
      </c>
      <c r="P164" t="s">
        <v>38</v>
      </c>
      <c r="Q164" t="s">
        <v>87</v>
      </c>
      <c r="R164" t="s">
        <v>497</v>
      </c>
    </row>
    <row r="165" spans="1:18">
      <c r="A165">
        <v>165</v>
      </c>
      <c r="B165" t="s">
        <v>18</v>
      </c>
      <c r="C165">
        <v>101</v>
      </c>
      <c r="D165">
        <v>165</v>
      </c>
      <c r="E165">
        <v>4.4000000000000004</v>
      </c>
      <c r="F165" t="s">
        <v>498</v>
      </c>
      <c r="G165" t="s">
        <v>388</v>
      </c>
      <c r="H165" t="s">
        <v>115</v>
      </c>
      <c r="I165" t="s">
        <v>116</v>
      </c>
      <c r="J165" t="s">
        <v>499</v>
      </c>
      <c r="K165" t="s">
        <v>106</v>
      </c>
      <c r="L165">
        <v>500</v>
      </c>
      <c r="M165">
        <v>2015</v>
      </c>
      <c r="N165" t="s">
        <v>31</v>
      </c>
      <c r="O165" t="s">
        <v>500</v>
      </c>
      <c r="P165" t="s">
        <v>500</v>
      </c>
      <c r="Q165" t="s">
        <v>27</v>
      </c>
      <c r="R165" t="s">
        <v>39</v>
      </c>
    </row>
    <row r="166" spans="1:18">
      <c r="A166">
        <v>166</v>
      </c>
      <c r="B166" t="s">
        <v>99</v>
      </c>
      <c r="C166">
        <v>101</v>
      </c>
      <c r="D166">
        <v>165</v>
      </c>
      <c r="E166">
        <v>4</v>
      </c>
      <c r="F166" t="s">
        <v>305</v>
      </c>
      <c r="G166" t="s">
        <v>129</v>
      </c>
      <c r="H166" t="s">
        <v>120</v>
      </c>
      <c r="I166" t="s">
        <v>121</v>
      </c>
      <c r="J166" t="s">
        <v>306</v>
      </c>
      <c r="K166" t="s">
        <v>49</v>
      </c>
      <c r="L166">
        <v>10000</v>
      </c>
      <c r="M166">
        <v>1982</v>
      </c>
      <c r="N166" t="s">
        <v>50</v>
      </c>
      <c r="O166" t="s">
        <v>37</v>
      </c>
      <c r="P166" t="s">
        <v>38</v>
      </c>
      <c r="Q166" t="s">
        <v>126</v>
      </c>
      <c r="R166" t="s">
        <v>39</v>
      </c>
    </row>
    <row r="167" spans="1:18">
      <c r="A167">
        <v>167</v>
      </c>
      <c r="B167" t="s">
        <v>99</v>
      </c>
      <c r="C167">
        <v>101</v>
      </c>
      <c r="D167">
        <v>165</v>
      </c>
      <c r="E167">
        <v>4.2</v>
      </c>
      <c r="F167" t="s">
        <v>305</v>
      </c>
      <c r="G167" t="s">
        <v>129</v>
      </c>
      <c r="H167" t="s">
        <v>120</v>
      </c>
      <c r="I167" t="s">
        <v>121</v>
      </c>
      <c r="J167" t="s">
        <v>48</v>
      </c>
      <c r="K167" t="s">
        <v>49</v>
      </c>
      <c r="L167">
        <v>10000</v>
      </c>
      <c r="M167">
        <v>1968</v>
      </c>
      <c r="N167" t="s">
        <v>50</v>
      </c>
      <c r="O167" t="s">
        <v>51</v>
      </c>
      <c r="P167" t="s">
        <v>33</v>
      </c>
      <c r="Q167" t="s">
        <v>52</v>
      </c>
      <c r="R167" t="s">
        <v>39</v>
      </c>
    </row>
    <row r="168" spans="1:18">
      <c r="A168">
        <v>168</v>
      </c>
      <c r="B168" t="s">
        <v>195</v>
      </c>
      <c r="C168">
        <v>101</v>
      </c>
      <c r="D168">
        <v>165</v>
      </c>
      <c r="E168">
        <v>3.5</v>
      </c>
      <c r="F168" t="s">
        <v>501</v>
      </c>
      <c r="G168" t="s">
        <v>502</v>
      </c>
      <c r="H168" t="s">
        <v>503</v>
      </c>
      <c r="I168" t="s">
        <v>504</v>
      </c>
      <c r="J168" t="s">
        <v>505</v>
      </c>
      <c r="K168" t="s">
        <v>85</v>
      </c>
      <c r="M168">
        <v>1957</v>
      </c>
      <c r="N168" t="s">
        <v>50</v>
      </c>
      <c r="O168" t="s">
        <v>39</v>
      </c>
      <c r="P168">
        <v>-1</v>
      </c>
      <c r="Q168" t="s">
        <v>87</v>
      </c>
      <c r="R168" t="s">
        <v>506</v>
      </c>
    </row>
    <row r="169" spans="1:18">
      <c r="A169">
        <v>169</v>
      </c>
      <c r="B169" t="s">
        <v>99</v>
      </c>
      <c r="C169">
        <v>101</v>
      </c>
      <c r="D169">
        <v>165</v>
      </c>
      <c r="E169">
        <v>2.2999999999999998</v>
      </c>
      <c r="F169" t="s">
        <v>507</v>
      </c>
      <c r="G169" t="s">
        <v>508</v>
      </c>
      <c r="H169" t="s">
        <v>221</v>
      </c>
      <c r="I169" t="s">
        <v>222</v>
      </c>
      <c r="J169" t="s">
        <v>509</v>
      </c>
      <c r="K169" t="s">
        <v>23</v>
      </c>
      <c r="L169">
        <v>5000</v>
      </c>
      <c r="M169">
        <v>2003</v>
      </c>
      <c r="N169" t="s">
        <v>374</v>
      </c>
      <c r="O169" t="s">
        <v>86</v>
      </c>
      <c r="P169" t="s">
        <v>86</v>
      </c>
      <c r="Q169" t="s">
        <v>42</v>
      </c>
      <c r="R169" t="s">
        <v>510</v>
      </c>
    </row>
    <row r="170" spans="1:18">
      <c r="A170">
        <v>170</v>
      </c>
      <c r="B170" t="s">
        <v>18</v>
      </c>
      <c r="C170">
        <v>101</v>
      </c>
      <c r="D170">
        <v>165</v>
      </c>
      <c r="E170">
        <v>3.4</v>
      </c>
      <c r="F170" t="s">
        <v>511</v>
      </c>
      <c r="G170" t="s">
        <v>152</v>
      </c>
      <c r="H170" t="s">
        <v>153</v>
      </c>
      <c r="I170" t="s">
        <v>154</v>
      </c>
      <c r="J170" t="s">
        <v>512</v>
      </c>
      <c r="K170" t="s">
        <v>49</v>
      </c>
      <c r="L170">
        <v>10000</v>
      </c>
      <c r="M170">
        <v>1946</v>
      </c>
      <c r="N170" t="s">
        <v>50</v>
      </c>
      <c r="O170" t="s">
        <v>270</v>
      </c>
      <c r="P170" t="s">
        <v>33</v>
      </c>
      <c r="Q170" t="s">
        <v>217</v>
      </c>
      <c r="R170" t="s">
        <v>513</v>
      </c>
    </row>
    <row r="171" spans="1:18">
      <c r="A171">
        <v>171</v>
      </c>
      <c r="B171" t="s">
        <v>103</v>
      </c>
      <c r="C171">
        <v>101</v>
      </c>
      <c r="D171">
        <v>165</v>
      </c>
      <c r="E171">
        <v>3.3</v>
      </c>
      <c r="F171" t="s">
        <v>295</v>
      </c>
      <c r="G171" t="s">
        <v>304</v>
      </c>
      <c r="H171" t="s">
        <v>120</v>
      </c>
      <c r="I171" t="s">
        <v>121</v>
      </c>
      <c r="J171" t="s">
        <v>155</v>
      </c>
      <c r="K171" t="s">
        <v>56</v>
      </c>
      <c r="L171">
        <v>1000</v>
      </c>
      <c r="M171">
        <v>2015</v>
      </c>
      <c r="N171" t="s">
        <v>31</v>
      </c>
      <c r="O171" t="s">
        <v>86</v>
      </c>
      <c r="P171" t="s">
        <v>86</v>
      </c>
      <c r="Q171" t="s">
        <v>27</v>
      </c>
      <c r="R171" t="s">
        <v>39</v>
      </c>
    </row>
    <row r="172" spans="1:18">
      <c r="A172">
        <v>172</v>
      </c>
      <c r="B172" t="s">
        <v>18</v>
      </c>
      <c r="C172">
        <v>101</v>
      </c>
      <c r="D172">
        <v>165</v>
      </c>
      <c r="E172">
        <v>4.7</v>
      </c>
      <c r="F172" t="s">
        <v>514</v>
      </c>
      <c r="G172" t="s">
        <v>304</v>
      </c>
      <c r="H172" t="s">
        <v>120</v>
      </c>
      <c r="I172" t="s">
        <v>121</v>
      </c>
      <c r="J172" t="s">
        <v>515</v>
      </c>
      <c r="K172" t="s">
        <v>106</v>
      </c>
      <c r="L172">
        <v>500</v>
      </c>
      <c r="M172">
        <v>2009</v>
      </c>
      <c r="N172" t="s">
        <v>31</v>
      </c>
      <c r="O172" t="s">
        <v>57</v>
      </c>
      <c r="P172" t="s">
        <v>38</v>
      </c>
      <c r="Q172" t="s">
        <v>42</v>
      </c>
      <c r="R172" t="s">
        <v>516</v>
      </c>
    </row>
    <row r="173" spans="1:18">
      <c r="A173">
        <v>173</v>
      </c>
      <c r="B173" t="s">
        <v>18</v>
      </c>
      <c r="C173">
        <v>101</v>
      </c>
      <c r="D173">
        <v>165</v>
      </c>
      <c r="E173">
        <v>3.9</v>
      </c>
      <c r="F173" t="s">
        <v>517</v>
      </c>
      <c r="G173" t="s">
        <v>20</v>
      </c>
      <c r="H173" t="s">
        <v>21</v>
      </c>
      <c r="I173" t="s">
        <v>20</v>
      </c>
      <c r="J173" t="s">
        <v>22</v>
      </c>
      <c r="K173" t="s">
        <v>106</v>
      </c>
      <c r="L173">
        <v>500</v>
      </c>
      <c r="M173">
        <v>2014</v>
      </c>
      <c r="N173" t="s">
        <v>31</v>
      </c>
      <c r="O173" t="s">
        <v>57</v>
      </c>
      <c r="P173" t="s">
        <v>38</v>
      </c>
      <c r="Q173" t="s">
        <v>27</v>
      </c>
      <c r="R173" t="s">
        <v>39</v>
      </c>
    </row>
    <row r="174" spans="1:18">
      <c r="A174">
        <v>174</v>
      </c>
      <c r="B174" t="s">
        <v>99</v>
      </c>
      <c r="C174">
        <v>101</v>
      </c>
      <c r="D174">
        <v>165</v>
      </c>
      <c r="E174">
        <v>3.3</v>
      </c>
      <c r="F174" t="s">
        <v>518</v>
      </c>
      <c r="G174" t="s">
        <v>124</v>
      </c>
      <c r="H174" t="s">
        <v>120</v>
      </c>
      <c r="I174" t="s">
        <v>121</v>
      </c>
      <c r="J174" t="s">
        <v>462</v>
      </c>
      <c r="K174" t="s">
        <v>23</v>
      </c>
      <c r="L174">
        <v>5000</v>
      </c>
      <c r="M174">
        <v>1953</v>
      </c>
      <c r="N174" t="s">
        <v>284</v>
      </c>
      <c r="O174" t="s">
        <v>365</v>
      </c>
      <c r="P174" t="s">
        <v>102</v>
      </c>
      <c r="Q174" t="s">
        <v>52</v>
      </c>
      <c r="R174" t="s">
        <v>519</v>
      </c>
    </row>
    <row r="175" spans="1:18">
      <c r="A175">
        <v>175</v>
      </c>
      <c r="B175" t="s">
        <v>103</v>
      </c>
      <c r="C175">
        <v>101</v>
      </c>
      <c r="D175">
        <v>165</v>
      </c>
      <c r="E175">
        <v>3.3</v>
      </c>
      <c r="F175" t="s">
        <v>295</v>
      </c>
      <c r="G175" t="s">
        <v>152</v>
      </c>
      <c r="H175" t="s">
        <v>153</v>
      </c>
      <c r="I175" t="s">
        <v>154</v>
      </c>
      <c r="J175" t="s">
        <v>155</v>
      </c>
      <c r="K175" t="s">
        <v>56</v>
      </c>
      <c r="L175">
        <v>1000</v>
      </c>
      <c r="M175">
        <v>2015</v>
      </c>
      <c r="N175" t="s">
        <v>31</v>
      </c>
      <c r="O175" t="s">
        <v>86</v>
      </c>
      <c r="P175" t="s">
        <v>86</v>
      </c>
      <c r="Q175" t="s">
        <v>27</v>
      </c>
      <c r="R175" t="s">
        <v>39</v>
      </c>
    </row>
    <row r="176" spans="1:18">
      <c r="A176">
        <v>176</v>
      </c>
      <c r="B176" t="s">
        <v>195</v>
      </c>
      <c r="C176">
        <v>101</v>
      </c>
      <c r="D176">
        <v>165</v>
      </c>
      <c r="E176">
        <v>4.4000000000000004</v>
      </c>
      <c r="F176" t="s">
        <v>520</v>
      </c>
      <c r="G176" t="s">
        <v>521</v>
      </c>
      <c r="H176" t="s">
        <v>259</v>
      </c>
      <c r="I176" t="s">
        <v>260</v>
      </c>
      <c r="J176" t="s">
        <v>522</v>
      </c>
      <c r="K176" t="s">
        <v>106</v>
      </c>
      <c r="L176">
        <v>500</v>
      </c>
      <c r="M176">
        <v>1998</v>
      </c>
      <c r="N176" t="s">
        <v>31</v>
      </c>
      <c r="O176" t="s">
        <v>523</v>
      </c>
      <c r="P176" t="s">
        <v>102</v>
      </c>
      <c r="Q176" t="s">
        <v>198</v>
      </c>
      <c r="R176" t="s">
        <v>39</v>
      </c>
    </row>
    <row r="177" spans="1:18">
      <c r="A177">
        <v>177</v>
      </c>
      <c r="B177" t="s">
        <v>18</v>
      </c>
      <c r="C177">
        <v>56</v>
      </c>
      <c r="D177">
        <v>97</v>
      </c>
      <c r="E177">
        <v>3.7</v>
      </c>
      <c r="F177" t="s">
        <v>177</v>
      </c>
      <c r="G177" t="s">
        <v>178</v>
      </c>
      <c r="H177" t="s">
        <v>179</v>
      </c>
      <c r="I177" t="s">
        <v>145</v>
      </c>
      <c r="J177" t="s">
        <v>180</v>
      </c>
      <c r="K177" t="s">
        <v>23</v>
      </c>
      <c r="L177">
        <v>5000</v>
      </c>
      <c r="M177">
        <v>1965</v>
      </c>
      <c r="N177" t="s">
        <v>63</v>
      </c>
      <c r="O177" t="s">
        <v>181</v>
      </c>
      <c r="P177" t="s">
        <v>182</v>
      </c>
      <c r="Q177" t="s">
        <v>183</v>
      </c>
      <c r="R177" t="s">
        <v>184</v>
      </c>
    </row>
    <row r="178" spans="1:18">
      <c r="A178">
        <v>178</v>
      </c>
      <c r="B178" t="s">
        <v>18</v>
      </c>
      <c r="C178">
        <v>56</v>
      </c>
      <c r="D178">
        <v>97</v>
      </c>
      <c r="E178">
        <v>3.5</v>
      </c>
      <c r="F178" t="s">
        <v>207</v>
      </c>
      <c r="G178" t="s">
        <v>208</v>
      </c>
      <c r="H178" t="s">
        <v>209</v>
      </c>
      <c r="I178" t="s">
        <v>210</v>
      </c>
      <c r="J178" t="s">
        <v>211</v>
      </c>
      <c r="K178" t="s">
        <v>23</v>
      </c>
      <c r="L178">
        <v>5000</v>
      </c>
      <c r="M178">
        <v>1945</v>
      </c>
      <c r="N178" t="s">
        <v>31</v>
      </c>
      <c r="O178" t="s">
        <v>159</v>
      </c>
      <c r="P178" t="s">
        <v>80</v>
      </c>
      <c r="Q178" t="s">
        <v>183</v>
      </c>
      <c r="R178" t="s">
        <v>39</v>
      </c>
    </row>
    <row r="179" spans="1:18">
      <c r="A179">
        <v>179</v>
      </c>
      <c r="B179" t="s">
        <v>103</v>
      </c>
      <c r="C179">
        <v>56</v>
      </c>
      <c r="D179">
        <v>97</v>
      </c>
      <c r="E179">
        <v>3.6</v>
      </c>
      <c r="F179" t="s">
        <v>207</v>
      </c>
      <c r="G179" t="s">
        <v>208</v>
      </c>
      <c r="H179" t="s">
        <v>209</v>
      </c>
      <c r="I179" t="s">
        <v>210</v>
      </c>
      <c r="J179" t="s">
        <v>524</v>
      </c>
      <c r="K179" t="s">
        <v>56</v>
      </c>
      <c r="L179">
        <v>1000</v>
      </c>
      <c r="M179">
        <v>1967</v>
      </c>
      <c r="N179" t="s">
        <v>24</v>
      </c>
      <c r="O179" t="s">
        <v>62</v>
      </c>
      <c r="P179" t="s">
        <v>63</v>
      </c>
      <c r="Q179" t="s">
        <v>198</v>
      </c>
      <c r="R179" t="s">
        <v>39</v>
      </c>
    </row>
    <row r="180" spans="1:18">
      <c r="A180">
        <v>180</v>
      </c>
      <c r="B180" t="s">
        <v>112</v>
      </c>
      <c r="C180">
        <v>56</v>
      </c>
      <c r="D180">
        <v>97</v>
      </c>
      <c r="E180">
        <v>3.8</v>
      </c>
      <c r="F180" t="s">
        <v>456</v>
      </c>
      <c r="G180" t="s">
        <v>415</v>
      </c>
      <c r="H180" t="s">
        <v>331</v>
      </c>
      <c r="I180" t="s">
        <v>332</v>
      </c>
      <c r="J180" t="s">
        <v>416</v>
      </c>
      <c r="K180" t="s">
        <v>56</v>
      </c>
      <c r="L180">
        <v>1000</v>
      </c>
      <c r="M180">
        <v>2013</v>
      </c>
      <c r="N180" t="s">
        <v>284</v>
      </c>
      <c r="O180" t="s">
        <v>86</v>
      </c>
      <c r="P180" t="s">
        <v>86</v>
      </c>
      <c r="Q180" t="s">
        <v>42</v>
      </c>
      <c r="R180" t="s">
        <v>457</v>
      </c>
    </row>
    <row r="181" spans="1:18">
      <c r="A181">
        <v>181</v>
      </c>
      <c r="B181" t="s">
        <v>99</v>
      </c>
      <c r="C181">
        <v>56</v>
      </c>
      <c r="D181">
        <v>97</v>
      </c>
      <c r="E181">
        <v>4.7</v>
      </c>
      <c r="F181" t="s">
        <v>525</v>
      </c>
      <c r="G181" t="s">
        <v>526</v>
      </c>
      <c r="H181" t="s">
        <v>221</v>
      </c>
      <c r="I181" t="s">
        <v>222</v>
      </c>
      <c r="J181" t="s">
        <v>527</v>
      </c>
      <c r="K181" t="s">
        <v>106</v>
      </c>
      <c r="L181">
        <v>500</v>
      </c>
      <c r="M181">
        <v>1997</v>
      </c>
      <c r="N181" t="s">
        <v>31</v>
      </c>
      <c r="O181" t="s">
        <v>32</v>
      </c>
      <c r="P181" t="s">
        <v>33</v>
      </c>
      <c r="Q181" t="s">
        <v>64</v>
      </c>
      <c r="R181" t="s">
        <v>39</v>
      </c>
    </row>
    <row r="182" spans="1:18">
      <c r="A182">
        <v>182</v>
      </c>
      <c r="B182" t="s">
        <v>18</v>
      </c>
      <c r="C182">
        <v>56</v>
      </c>
      <c r="D182">
        <v>97</v>
      </c>
      <c r="E182">
        <v>3.5</v>
      </c>
      <c r="F182" t="s">
        <v>528</v>
      </c>
      <c r="G182" t="s">
        <v>20</v>
      </c>
      <c r="H182" t="s">
        <v>21</v>
      </c>
      <c r="I182" t="s">
        <v>20</v>
      </c>
      <c r="J182" t="s">
        <v>529</v>
      </c>
      <c r="K182" t="s">
        <v>23</v>
      </c>
      <c r="L182">
        <v>5000</v>
      </c>
      <c r="M182">
        <v>1948</v>
      </c>
      <c r="N182" t="s">
        <v>50</v>
      </c>
      <c r="O182" t="s">
        <v>25</v>
      </c>
      <c r="P182" t="s">
        <v>26</v>
      </c>
      <c r="Q182" t="s">
        <v>52</v>
      </c>
      <c r="R182" t="s">
        <v>39</v>
      </c>
    </row>
    <row r="183" spans="1:18">
      <c r="A183">
        <v>183</v>
      </c>
      <c r="B183" t="s">
        <v>18</v>
      </c>
      <c r="C183">
        <v>56</v>
      </c>
      <c r="D183">
        <v>97</v>
      </c>
      <c r="E183">
        <v>3.3</v>
      </c>
      <c r="F183" t="s">
        <v>530</v>
      </c>
      <c r="G183" t="s">
        <v>531</v>
      </c>
      <c r="H183" t="s">
        <v>209</v>
      </c>
      <c r="I183" t="s">
        <v>210</v>
      </c>
      <c r="J183" t="s">
        <v>532</v>
      </c>
      <c r="K183" t="s">
        <v>49</v>
      </c>
      <c r="L183">
        <v>10000</v>
      </c>
      <c r="M183">
        <v>1850</v>
      </c>
      <c r="N183" t="s">
        <v>50</v>
      </c>
      <c r="O183" t="s">
        <v>96</v>
      </c>
      <c r="P183" t="s">
        <v>96</v>
      </c>
      <c r="Q183" t="s">
        <v>183</v>
      </c>
      <c r="R183" t="s">
        <v>39</v>
      </c>
    </row>
    <row r="184" spans="1:18">
      <c r="A184">
        <v>184</v>
      </c>
      <c r="B184" t="s">
        <v>99</v>
      </c>
      <c r="C184">
        <v>56</v>
      </c>
      <c r="D184">
        <v>97</v>
      </c>
      <c r="E184">
        <v>3.9</v>
      </c>
      <c r="F184" t="s">
        <v>533</v>
      </c>
      <c r="G184" t="s">
        <v>129</v>
      </c>
      <c r="H184" t="s">
        <v>120</v>
      </c>
      <c r="I184" t="s">
        <v>121</v>
      </c>
      <c r="J184" t="s">
        <v>36</v>
      </c>
      <c r="K184" t="s">
        <v>30</v>
      </c>
      <c r="L184">
        <v>200</v>
      </c>
      <c r="M184">
        <v>2008</v>
      </c>
      <c r="N184" t="s">
        <v>50</v>
      </c>
      <c r="O184" t="s">
        <v>41</v>
      </c>
      <c r="P184" t="s">
        <v>38</v>
      </c>
      <c r="Q184" t="s">
        <v>27</v>
      </c>
      <c r="R184" t="s">
        <v>39</v>
      </c>
    </row>
    <row r="185" spans="1:18">
      <c r="A185">
        <v>185</v>
      </c>
      <c r="B185" t="s">
        <v>18</v>
      </c>
      <c r="C185">
        <v>56</v>
      </c>
      <c r="D185">
        <v>97</v>
      </c>
      <c r="E185">
        <v>3.7</v>
      </c>
      <c r="F185" t="s">
        <v>534</v>
      </c>
      <c r="G185" t="s">
        <v>70</v>
      </c>
      <c r="H185" t="s">
        <v>71</v>
      </c>
      <c r="I185" t="s">
        <v>72</v>
      </c>
      <c r="J185" t="s">
        <v>535</v>
      </c>
      <c r="K185" t="s">
        <v>49</v>
      </c>
      <c r="L185">
        <v>10000</v>
      </c>
      <c r="M185">
        <v>1851</v>
      </c>
      <c r="N185" t="s">
        <v>31</v>
      </c>
      <c r="O185" t="s">
        <v>25</v>
      </c>
      <c r="P185" t="s">
        <v>26</v>
      </c>
      <c r="Q185" t="s">
        <v>87</v>
      </c>
      <c r="R185" t="s">
        <v>39</v>
      </c>
    </row>
    <row r="186" spans="1:18">
      <c r="A186">
        <v>186</v>
      </c>
      <c r="B186" t="s">
        <v>112</v>
      </c>
      <c r="C186">
        <v>56</v>
      </c>
      <c r="D186">
        <v>97</v>
      </c>
      <c r="E186">
        <v>3.9</v>
      </c>
      <c r="F186" t="s">
        <v>536</v>
      </c>
      <c r="G186" t="s">
        <v>537</v>
      </c>
      <c r="H186" t="s">
        <v>120</v>
      </c>
      <c r="I186" t="s">
        <v>121</v>
      </c>
      <c r="J186" t="s">
        <v>538</v>
      </c>
      <c r="K186" t="s">
        <v>56</v>
      </c>
      <c r="L186">
        <v>1000</v>
      </c>
      <c r="M186">
        <v>2004</v>
      </c>
      <c r="N186" t="s">
        <v>50</v>
      </c>
      <c r="O186" t="s">
        <v>86</v>
      </c>
      <c r="P186" t="s">
        <v>86</v>
      </c>
      <c r="Q186" t="s">
        <v>42</v>
      </c>
      <c r="R186" t="s">
        <v>539</v>
      </c>
    </row>
    <row r="187" spans="1:18">
      <c r="A187">
        <v>187</v>
      </c>
      <c r="B187" t="s">
        <v>112</v>
      </c>
      <c r="C187">
        <v>56</v>
      </c>
      <c r="D187">
        <v>97</v>
      </c>
      <c r="E187">
        <v>4</v>
      </c>
      <c r="F187" t="s">
        <v>540</v>
      </c>
      <c r="G187" t="s">
        <v>135</v>
      </c>
      <c r="H187" t="s">
        <v>120</v>
      </c>
      <c r="I187" t="s">
        <v>121</v>
      </c>
      <c r="J187" t="s">
        <v>136</v>
      </c>
      <c r="K187" t="s">
        <v>85</v>
      </c>
      <c r="M187">
        <v>1976</v>
      </c>
      <c r="N187" t="s">
        <v>284</v>
      </c>
      <c r="O187" t="s">
        <v>86</v>
      </c>
      <c r="P187" t="s">
        <v>86</v>
      </c>
      <c r="Q187" t="s">
        <v>87</v>
      </c>
      <c r="R187" t="s">
        <v>39</v>
      </c>
    </row>
    <row r="188" spans="1:18">
      <c r="A188">
        <v>188</v>
      </c>
      <c r="B188" t="s">
        <v>112</v>
      </c>
      <c r="C188">
        <v>56</v>
      </c>
      <c r="D188">
        <v>97</v>
      </c>
      <c r="E188">
        <v>4.2</v>
      </c>
      <c r="F188" t="s">
        <v>541</v>
      </c>
      <c r="G188" t="s">
        <v>54</v>
      </c>
      <c r="H188" t="s">
        <v>46</v>
      </c>
      <c r="I188" t="s">
        <v>47</v>
      </c>
      <c r="J188" t="s">
        <v>48</v>
      </c>
      <c r="K188" t="s">
        <v>106</v>
      </c>
      <c r="L188">
        <v>500</v>
      </c>
      <c r="M188">
        <v>2010</v>
      </c>
      <c r="N188" t="s">
        <v>31</v>
      </c>
      <c r="O188" t="s">
        <v>98</v>
      </c>
      <c r="P188" t="s">
        <v>38</v>
      </c>
      <c r="Q188" t="s">
        <v>198</v>
      </c>
      <c r="R188" t="s">
        <v>542</v>
      </c>
    </row>
    <row r="189" spans="1:18">
      <c r="A189">
        <v>189</v>
      </c>
      <c r="B189" t="s">
        <v>18</v>
      </c>
      <c r="C189">
        <v>56</v>
      </c>
      <c r="D189">
        <v>97</v>
      </c>
      <c r="E189">
        <v>3.6</v>
      </c>
      <c r="F189" t="s">
        <v>543</v>
      </c>
      <c r="G189" t="s">
        <v>544</v>
      </c>
      <c r="H189" t="s">
        <v>71</v>
      </c>
      <c r="I189" t="s">
        <v>72</v>
      </c>
      <c r="J189" t="s">
        <v>545</v>
      </c>
      <c r="K189" t="s">
        <v>546</v>
      </c>
      <c r="M189">
        <v>1995</v>
      </c>
      <c r="N189" t="s">
        <v>284</v>
      </c>
      <c r="O189" t="s">
        <v>32</v>
      </c>
      <c r="P189" t="s">
        <v>33</v>
      </c>
      <c r="Q189" t="s">
        <v>27</v>
      </c>
      <c r="R189" t="s">
        <v>547</v>
      </c>
    </row>
    <row r="190" spans="1:18">
      <c r="A190">
        <v>190</v>
      </c>
      <c r="B190" t="s">
        <v>103</v>
      </c>
      <c r="C190">
        <v>56</v>
      </c>
      <c r="D190">
        <v>97</v>
      </c>
      <c r="E190">
        <v>4.7</v>
      </c>
      <c r="F190" t="s">
        <v>548</v>
      </c>
      <c r="G190" t="s">
        <v>129</v>
      </c>
      <c r="H190" t="s">
        <v>120</v>
      </c>
      <c r="I190" t="s">
        <v>121</v>
      </c>
      <c r="J190" t="s">
        <v>549</v>
      </c>
      <c r="K190" t="s">
        <v>56</v>
      </c>
      <c r="L190">
        <v>1000</v>
      </c>
      <c r="M190">
        <v>1999</v>
      </c>
      <c r="N190" t="s">
        <v>284</v>
      </c>
      <c r="O190" t="s">
        <v>37</v>
      </c>
      <c r="P190" t="s">
        <v>38</v>
      </c>
      <c r="Q190" t="s">
        <v>27</v>
      </c>
      <c r="R190" t="s">
        <v>39</v>
      </c>
    </row>
    <row r="191" spans="1:18">
      <c r="A191">
        <v>191</v>
      </c>
      <c r="B191" t="s">
        <v>195</v>
      </c>
      <c r="C191">
        <v>56</v>
      </c>
      <c r="D191">
        <v>97</v>
      </c>
      <c r="E191">
        <v>4.0999999999999996</v>
      </c>
      <c r="F191" t="s">
        <v>550</v>
      </c>
      <c r="G191" t="s">
        <v>292</v>
      </c>
      <c r="H191" t="s">
        <v>120</v>
      </c>
      <c r="I191" t="s">
        <v>121</v>
      </c>
      <c r="J191" t="s">
        <v>125</v>
      </c>
      <c r="K191" t="s">
        <v>30</v>
      </c>
      <c r="L191">
        <v>200</v>
      </c>
      <c r="M191">
        <v>2011</v>
      </c>
      <c r="N191" t="s">
        <v>31</v>
      </c>
      <c r="O191" t="s">
        <v>98</v>
      </c>
      <c r="P191" t="s">
        <v>38</v>
      </c>
      <c r="Q191" t="s">
        <v>27</v>
      </c>
      <c r="R191" t="s">
        <v>39</v>
      </c>
    </row>
    <row r="192" spans="1:18">
      <c r="A192">
        <v>192</v>
      </c>
      <c r="B192" t="s">
        <v>18</v>
      </c>
      <c r="C192">
        <v>56</v>
      </c>
      <c r="D192">
        <v>97</v>
      </c>
      <c r="E192">
        <v>4</v>
      </c>
      <c r="F192" t="s">
        <v>329</v>
      </c>
      <c r="G192" t="s">
        <v>330</v>
      </c>
      <c r="H192" t="s">
        <v>331</v>
      </c>
      <c r="I192" t="s">
        <v>332</v>
      </c>
      <c r="J192" t="s">
        <v>333</v>
      </c>
      <c r="K192" t="s">
        <v>85</v>
      </c>
      <c r="M192">
        <v>1913</v>
      </c>
      <c r="N192" t="s">
        <v>50</v>
      </c>
      <c r="O192" t="s">
        <v>86</v>
      </c>
      <c r="P192" t="s">
        <v>86</v>
      </c>
      <c r="Q192" t="s">
        <v>87</v>
      </c>
      <c r="R192" t="s">
        <v>334</v>
      </c>
    </row>
    <row r="193" spans="1:18">
      <c r="A193">
        <v>193</v>
      </c>
      <c r="B193" t="s">
        <v>18</v>
      </c>
      <c r="C193">
        <v>56</v>
      </c>
      <c r="D193">
        <v>97</v>
      </c>
      <c r="E193">
        <v>5</v>
      </c>
      <c r="F193" t="s">
        <v>551</v>
      </c>
      <c r="G193" t="s">
        <v>129</v>
      </c>
      <c r="H193" t="s">
        <v>120</v>
      </c>
      <c r="I193" t="s">
        <v>121</v>
      </c>
      <c r="J193" t="s">
        <v>552</v>
      </c>
      <c r="K193" t="s">
        <v>546</v>
      </c>
      <c r="M193">
        <v>-1</v>
      </c>
      <c r="N193" t="s">
        <v>50</v>
      </c>
      <c r="O193" t="s">
        <v>39</v>
      </c>
      <c r="P193">
        <v>-1</v>
      </c>
      <c r="Q193" t="s">
        <v>27</v>
      </c>
      <c r="R193" t="s">
        <v>39</v>
      </c>
    </row>
    <row r="194" spans="1:18">
      <c r="A194">
        <v>194</v>
      </c>
      <c r="B194" t="s">
        <v>18</v>
      </c>
      <c r="C194">
        <v>56</v>
      </c>
      <c r="D194">
        <v>97</v>
      </c>
      <c r="E194">
        <v>4</v>
      </c>
      <c r="F194" t="s">
        <v>329</v>
      </c>
      <c r="G194" t="s">
        <v>20</v>
      </c>
      <c r="H194" t="s">
        <v>21</v>
      </c>
      <c r="I194" t="s">
        <v>20</v>
      </c>
      <c r="J194" t="s">
        <v>333</v>
      </c>
      <c r="K194" t="s">
        <v>85</v>
      </c>
      <c r="M194">
        <v>1913</v>
      </c>
      <c r="N194" t="s">
        <v>50</v>
      </c>
      <c r="O194" t="s">
        <v>86</v>
      </c>
      <c r="P194" t="s">
        <v>86</v>
      </c>
      <c r="Q194" t="s">
        <v>87</v>
      </c>
      <c r="R194" t="s">
        <v>334</v>
      </c>
    </row>
    <row r="195" spans="1:18">
      <c r="A195">
        <v>195</v>
      </c>
      <c r="B195" t="s">
        <v>18</v>
      </c>
      <c r="C195">
        <v>56</v>
      </c>
      <c r="D195">
        <v>97</v>
      </c>
      <c r="E195">
        <v>4.3</v>
      </c>
      <c r="F195" t="s">
        <v>553</v>
      </c>
      <c r="G195" t="s">
        <v>537</v>
      </c>
      <c r="H195" t="s">
        <v>120</v>
      </c>
      <c r="I195" t="s">
        <v>121</v>
      </c>
      <c r="J195" t="s">
        <v>354</v>
      </c>
      <c r="K195" t="s">
        <v>30</v>
      </c>
      <c r="L195">
        <v>200</v>
      </c>
      <c r="M195">
        <v>-1</v>
      </c>
      <c r="N195" t="s">
        <v>31</v>
      </c>
      <c r="O195" t="s">
        <v>39</v>
      </c>
      <c r="P195">
        <v>-1</v>
      </c>
      <c r="Q195" t="s">
        <v>27</v>
      </c>
      <c r="R195" t="s">
        <v>39</v>
      </c>
    </row>
    <row r="196" spans="1:18">
      <c r="A196">
        <v>196</v>
      </c>
      <c r="B196" t="s">
        <v>99</v>
      </c>
      <c r="C196">
        <v>56</v>
      </c>
      <c r="D196">
        <v>97</v>
      </c>
      <c r="E196">
        <v>3.8</v>
      </c>
      <c r="F196" t="s">
        <v>554</v>
      </c>
      <c r="G196" t="s">
        <v>555</v>
      </c>
      <c r="H196" t="s">
        <v>214</v>
      </c>
      <c r="I196" t="s">
        <v>215</v>
      </c>
      <c r="J196" t="s">
        <v>556</v>
      </c>
      <c r="K196" t="s">
        <v>49</v>
      </c>
      <c r="L196">
        <v>10000</v>
      </c>
      <c r="M196">
        <v>1918</v>
      </c>
      <c r="N196" t="s">
        <v>24</v>
      </c>
      <c r="O196" t="s">
        <v>204</v>
      </c>
      <c r="P196" t="s">
        <v>205</v>
      </c>
      <c r="Q196" t="s">
        <v>42</v>
      </c>
      <c r="R196" t="s">
        <v>557</v>
      </c>
    </row>
    <row r="197" spans="1:18">
      <c r="A197">
        <v>197</v>
      </c>
      <c r="B197" t="s">
        <v>112</v>
      </c>
      <c r="C197">
        <v>56</v>
      </c>
      <c r="D197">
        <v>97</v>
      </c>
      <c r="E197">
        <v>3.8</v>
      </c>
      <c r="F197" t="s">
        <v>558</v>
      </c>
      <c r="G197" t="s">
        <v>559</v>
      </c>
      <c r="H197" t="s">
        <v>560</v>
      </c>
      <c r="I197" t="s">
        <v>561</v>
      </c>
      <c r="J197" t="s">
        <v>108</v>
      </c>
      <c r="K197" t="s">
        <v>106</v>
      </c>
      <c r="L197">
        <v>500</v>
      </c>
      <c r="M197">
        <v>2013</v>
      </c>
      <c r="N197" t="s">
        <v>50</v>
      </c>
      <c r="O197" t="s">
        <v>86</v>
      </c>
      <c r="P197" t="s">
        <v>86</v>
      </c>
      <c r="Q197" t="s">
        <v>42</v>
      </c>
      <c r="R197" t="s">
        <v>39</v>
      </c>
    </row>
    <row r="198" spans="1:18">
      <c r="A198">
        <v>198</v>
      </c>
      <c r="B198" t="s">
        <v>99</v>
      </c>
      <c r="C198">
        <v>56</v>
      </c>
      <c r="D198">
        <v>97</v>
      </c>
      <c r="E198">
        <v>4.5999999999999996</v>
      </c>
      <c r="F198" t="s">
        <v>562</v>
      </c>
      <c r="G198" t="s">
        <v>563</v>
      </c>
      <c r="H198" t="s">
        <v>564</v>
      </c>
      <c r="I198" t="s">
        <v>565</v>
      </c>
      <c r="J198" t="s">
        <v>566</v>
      </c>
      <c r="K198" t="s">
        <v>56</v>
      </c>
      <c r="L198">
        <v>1000</v>
      </c>
      <c r="M198">
        <v>1992</v>
      </c>
      <c r="N198" t="s">
        <v>31</v>
      </c>
      <c r="O198" t="s">
        <v>436</v>
      </c>
      <c r="P198" t="s">
        <v>102</v>
      </c>
      <c r="Q198" t="s">
        <v>42</v>
      </c>
      <c r="R198" t="s">
        <v>39</v>
      </c>
    </row>
    <row r="199" spans="1:18">
      <c r="A199">
        <v>199</v>
      </c>
      <c r="B199" t="s">
        <v>18</v>
      </c>
      <c r="C199">
        <v>79</v>
      </c>
      <c r="D199">
        <v>106</v>
      </c>
      <c r="E199">
        <v>4.0999999999999996</v>
      </c>
      <c r="F199" t="s">
        <v>191</v>
      </c>
      <c r="G199" t="s">
        <v>192</v>
      </c>
      <c r="H199" t="s">
        <v>112</v>
      </c>
      <c r="I199" t="s">
        <v>193</v>
      </c>
      <c r="J199" t="s">
        <v>194</v>
      </c>
      <c r="K199" t="s">
        <v>30</v>
      </c>
      <c r="L199">
        <v>200</v>
      </c>
      <c r="M199">
        <v>2015</v>
      </c>
      <c r="N199" t="s">
        <v>31</v>
      </c>
      <c r="O199" t="s">
        <v>41</v>
      </c>
      <c r="P199" t="s">
        <v>38</v>
      </c>
      <c r="Q199" t="s">
        <v>27</v>
      </c>
      <c r="R199" t="s">
        <v>39</v>
      </c>
    </row>
    <row r="200" spans="1:18">
      <c r="A200">
        <v>200</v>
      </c>
      <c r="B200" t="s">
        <v>18</v>
      </c>
      <c r="C200">
        <v>79</v>
      </c>
      <c r="D200">
        <v>106</v>
      </c>
      <c r="E200">
        <v>3.4</v>
      </c>
      <c r="F200" t="s">
        <v>160</v>
      </c>
      <c r="G200" t="s">
        <v>152</v>
      </c>
      <c r="H200" t="s">
        <v>153</v>
      </c>
      <c r="I200" t="s">
        <v>154</v>
      </c>
      <c r="J200" t="s">
        <v>155</v>
      </c>
      <c r="K200" t="s">
        <v>30</v>
      </c>
      <c r="L200">
        <v>200</v>
      </c>
      <c r="M200">
        <v>1992</v>
      </c>
      <c r="N200" t="s">
        <v>31</v>
      </c>
      <c r="O200" t="s">
        <v>32</v>
      </c>
      <c r="P200" t="s">
        <v>33</v>
      </c>
      <c r="Q200" t="s">
        <v>140</v>
      </c>
      <c r="R200" t="s">
        <v>39</v>
      </c>
    </row>
    <row r="201" spans="1:18">
      <c r="A201">
        <v>201</v>
      </c>
      <c r="B201" t="s">
        <v>18</v>
      </c>
      <c r="C201">
        <v>79</v>
      </c>
      <c r="D201">
        <v>106</v>
      </c>
      <c r="E201">
        <v>4.0999999999999996</v>
      </c>
      <c r="F201" t="s">
        <v>567</v>
      </c>
      <c r="G201" t="s">
        <v>60</v>
      </c>
      <c r="H201" t="s">
        <v>46</v>
      </c>
      <c r="I201" t="s">
        <v>47</v>
      </c>
      <c r="J201" t="s">
        <v>568</v>
      </c>
      <c r="K201" t="s">
        <v>30</v>
      </c>
      <c r="L201">
        <v>200</v>
      </c>
      <c r="M201">
        <v>2008</v>
      </c>
      <c r="N201" t="s">
        <v>31</v>
      </c>
      <c r="O201" t="s">
        <v>75</v>
      </c>
      <c r="P201" t="s">
        <v>33</v>
      </c>
      <c r="Q201" t="s">
        <v>140</v>
      </c>
      <c r="R201" t="s">
        <v>39</v>
      </c>
    </row>
    <row r="202" spans="1:18">
      <c r="A202">
        <v>202</v>
      </c>
      <c r="B202" t="s">
        <v>103</v>
      </c>
      <c r="C202">
        <v>79</v>
      </c>
      <c r="D202">
        <v>106</v>
      </c>
      <c r="E202">
        <v>3.7</v>
      </c>
      <c r="F202" t="s">
        <v>569</v>
      </c>
      <c r="G202" t="s">
        <v>570</v>
      </c>
      <c r="H202" t="s">
        <v>46</v>
      </c>
      <c r="I202" t="s">
        <v>47</v>
      </c>
      <c r="J202" t="s">
        <v>571</v>
      </c>
      <c r="K202" t="s">
        <v>56</v>
      </c>
      <c r="L202">
        <v>1000</v>
      </c>
      <c r="M202">
        <v>1954</v>
      </c>
      <c r="N202" t="s">
        <v>50</v>
      </c>
      <c r="O202" t="s">
        <v>96</v>
      </c>
      <c r="P202" t="s">
        <v>96</v>
      </c>
      <c r="Q202" t="s">
        <v>42</v>
      </c>
      <c r="R202" t="s">
        <v>572</v>
      </c>
    </row>
    <row r="203" spans="1:18">
      <c r="A203">
        <v>203</v>
      </c>
      <c r="B203" t="s">
        <v>195</v>
      </c>
      <c r="C203">
        <v>79</v>
      </c>
      <c r="D203">
        <v>106</v>
      </c>
      <c r="E203">
        <v>4.4000000000000004</v>
      </c>
      <c r="F203" t="s">
        <v>573</v>
      </c>
      <c r="G203" t="s">
        <v>129</v>
      </c>
      <c r="H203" t="s">
        <v>120</v>
      </c>
      <c r="I203" t="s">
        <v>121</v>
      </c>
      <c r="J203" t="s">
        <v>36</v>
      </c>
      <c r="K203" t="s">
        <v>30</v>
      </c>
      <c r="L203">
        <v>200</v>
      </c>
      <c r="M203">
        <v>2008</v>
      </c>
      <c r="N203" t="s">
        <v>31</v>
      </c>
      <c r="O203" t="s">
        <v>37</v>
      </c>
      <c r="P203" t="s">
        <v>38</v>
      </c>
      <c r="Q203" t="s">
        <v>198</v>
      </c>
      <c r="R203" t="s">
        <v>39</v>
      </c>
    </row>
    <row r="204" spans="1:18">
      <c r="A204">
        <v>204</v>
      </c>
      <c r="B204" t="s">
        <v>18</v>
      </c>
      <c r="C204">
        <v>79</v>
      </c>
      <c r="D204">
        <v>106</v>
      </c>
      <c r="E204">
        <v>3.9</v>
      </c>
      <c r="F204" t="s">
        <v>82</v>
      </c>
      <c r="G204" t="s">
        <v>83</v>
      </c>
      <c r="H204" t="s">
        <v>71</v>
      </c>
      <c r="I204" t="s">
        <v>72</v>
      </c>
      <c r="J204" t="s">
        <v>84</v>
      </c>
      <c r="K204" t="s">
        <v>85</v>
      </c>
      <c r="M204">
        <v>1996</v>
      </c>
      <c r="N204" t="s">
        <v>50</v>
      </c>
      <c r="O204" t="s">
        <v>86</v>
      </c>
      <c r="P204" t="s">
        <v>86</v>
      </c>
      <c r="Q204" t="s">
        <v>87</v>
      </c>
      <c r="R204" t="s">
        <v>39</v>
      </c>
    </row>
    <row r="205" spans="1:18">
      <c r="A205">
        <v>205</v>
      </c>
      <c r="B205" t="s">
        <v>195</v>
      </c>
      <c r="C205">
        <v>79</v>
      </c>
      <c r="D205">
        <v>106</v>
      </c>
      <c r="E205">
        <v>3.6</v>
      </c>
      <c r="F205" t="s">
        <v>574</v>
      </c>
      <c r="G205" t="s">
        <v>575</v>
      </c>
      <c r="H205" t="s">
        <v>331</v>
      </c>
      <c r="I205" t="s">
        <v>332</v>
      </c>
      <c r="J205" t="s">
        <v>55</v>
      </c>
      <c r="K205" t="s">
        <v>23</v>
      </c>
      <c r="L205">
        <v>5000</v>
      </c>
      <c r="M205">
        <v>2001</v>
      </c>
      <c r="N205" t="s">
        <v>31</v>
      </c>
      <c r="O205" t="s">
        <v>51</v>
      </c>
      <c r="P205" t="s">
        <v>33</v>
      </c>
      <c r="Q205" t="s">
        <v>52</v>
      </c>
      <c r="R205" t="s">
        <v>39</v>
      </c>
    </row>
    <row r="206" spans="1:18">
      <c r="A206">
        <v>206</v>
      </c>
      <c r="B206" t="s">
        <v>112</v>
      </c>
      <c r="C206">
        <v>79</v>
      </c>
      <c r="D206">
        <v>106</v>
      </c>
      <c r="E206">
        <v>4.5</v>
      </c>
      <c r="F206" t="s">
        <v>53</v>
      </c>
      <c r="G206" t="s">
        <v>54</v>
      </c>
      <c r="H206" t="s">
        <v>46</v>
      </c>
      <c r="I206" t="s">
        <v>47</v>
      </c>
      <c r="J206" t="s">
        <v>55</v>
      </c>
      <c r="K206" t="s">
        <v>56</v>
      </c>
      <c r="L206">
        <v>1000</v>
      </c>
      <c r="M206">
        <v>2012</v>
      </c>
      <c r="N206" t="s">
        <v>31</v>
      </c>
      <c r="O206" t="s">
        <v>57</v>
      </c>
      <c r="P206" t="s">
        <v>38</v>
      </c>
      <c r="Q206" t="s">
        <v>42</v>
      </c>
      <c r="R206" t="s">
        <v>58</v>
      </c>
    </row>
    <row r="207" spans="1:18">
      <c r="A207">
        <v>207</v>
      </c>
      <c r="B207" t="s">
        <v>112</v>
      </c>
      <c r="C207">
        <v>79</v>
      </c>
      <c r="D207">
        <v>106</v>
      </c>
      <c r="E207">
        <v>3.7</v>
      </c>
      <c r="F207" t="s">
        <v>576</v>
      </c>
      <c r="G207" t="s">
        <v>577</v>
      </c>
      <c r="H207" t="s">
        <v>578</v>
      </c>
      <c r="I207" t="s">
        <v>579</v>
      </c>
      <c r="J207" t="s">
        <v>580</v>
      </c>
      <c r="K207" t="s">
        <v>23</v>
      </c>
      <c r="L207">
        <v>5000</v>
      </c>
      <c r="M207">
        <v>1999</v>
      </c>
      <c r="N207" t="s">
        <v>50</v>
      </c>
      <c r="O207" t="s">
        <v>581</v>
      </c>
      <c r="P207" t="s">
        <v>80</v>
      </c>
      <c r="Q207" t="s">
        <v>42</v>
      </c>
      <c r="R207" t="s">
        <v>39</v>
      </c>
    </row>
    <row r="208" spans="1:18">
      <c r="A208">
        <v>208</v>
      </c>
      <c r="B208" t="s">
        <v>99</v>
      </c>
      <c r="C208">
        <v>79</v>
      </c>
      <c r="D208">
        <v>106</v>
      </c>
      <c r="E208">
        <v>2.9</v>
      </c>
      <c r="F208" t="s">
        <v>582</v>
      </c>
      <c r="G208" t="s">
        <v>583</v>
      </c>
      <c r="H208" t="s">
        <v>584</v>
      </c>
      <c r="I208" t="s">
        <v>585</v>
      </c>
      <c r="J208" t="s">
        <v>586</v>
      </c>
      <c r="K208" t="s">
        <v>106</v>
      </c>
      <c r="L208">
        <v>500</v>
      </c>
      <c r="M208">
        <v>1996</v>
      </c>
      <c r="N208" t="s">
        <v>50</v>
      </c>
      <c r="O208" t="s">
        <v>587</v>
      </c>
      <c r="P208" t="s">
        <v>182</v>
      </c>
      <c r="Q208" t="s">
        <v>198</v>
      </c>
      <c r="R208" t="s">
        <v>39</v>
      </c>
    </row>
    <row r="209" spans="1:18">
      <c r="A209">
        <v>209</v>
      </c>
      <c r="B209" t="s">
        <v>18</v>
      </c>
      <c r="C209">
        <v>79</v>
      </c>
      <c r="D209">
        <v>106</v>
      </c>
      <c r="E209">
        <v>5</v>
      </c>
      <c r="F209" t="s">
        <v>588</v>
      </c>
      <c r="G209" t="s">
        <v>412</v>
      </c>
      <c r="H209" t="s">
        <v>331</v>
      </c>
      <c r="I209" t="s">
        <v>332</v>
      </c>
      <c r="J209" t="s">
        <v>589</v>
      </c>
      <c r="K209" t="s">
        <v>67</v>
      </c>
      <c r="L209">
        <v>50</v>
      </c>
      <c r="M209">
        <v>2011</v>
      </c>
      <c r="N209" t="s">
        <v>31</v>
      </c>
      <c r="O209" t="s">
        <v>98</v>
      </c>
      <c r="P209" t="s">
        <v>38</v>
      </c>
      <c r="Q209" t="s">
        <v>68</v>
      </c>
      <c r="R209" t="s">
        <v>39</v>
      </c>
    </row>
    <row r="210" spans="1:18">
      <c r="A210">
        <v>210</v>
      </c>
      <c r="B210" t="s">
        <v>18</v>
      </c>
      <c r="C210">
        <v>79</v>
      </c>
      <c r="D210">
        <v>106</v>
      </c>
      <c r="E210">
        <v>3.4</v>
      </c>
      <c r="F210" t="s">
        <v>590</v>
      </c>
      <c r="G210" t="s">
        <v>77</v>
      </c>
      <c r="H210" t="s">
        <v>71</v>
      </c>
      <c r="I210" t="s">
        <v>72</v>
      </c>
      <c r="J210" t="s">
        <v>371</v>
      </c>
      <c r="K210" t="s">
        <v>106</v>
      </c>
      <c r="L210">
        <v>500</v>
      </c>
      <c r="M210">
        <v>1990</v>
      </c>
      <c r="N210" t="s">
        <v>284</v>
      </c>
      <c r="O210" t="s">
        <v>270</v>
      </c>
      <c r="P210" t="s">
        <v>33</v>
      </c>
      <c r="Q210" t="s">
        <v>42</v>
      </c>
      <c r="R210" t="s">
        <v>591</v>
      </c>
    </row>
    <row r="211" spans="1:18">
      <c r="A211">
        <v>211</v>
      </c>
      <c r="B211" t="s">
        <v>18</v>
      </c>
      <c r="C211">
        <v>79</v>
      </c>
      <c r="D211">
        <v>106</v>
      </c>
      <c r="E211">
        <v>3.5</v>
      </c>
      <c r="F211" t="s">
        <v>403</v>
      </c>
      <c r="G211" t="s">
        <v>54</v>
      </c>
      <c r="H211" t="s">
        <v>46</v>
      </c>
      <c r="I211" t="s">
        <v>47</v>
      </c>
      <c r="J211" t="s">
        <v>404</v>
      </c>
      <c r="K211" t="s">
        <v>49</v>
      </c>
      <c r="L211">
        <v>10000</v>
      </c>
      <c r="M211">
        <v>-1</v>
      </c>
      <c r="N211" t="s">
        <v>50</v>
      </c>
      <c r="O211" t="s">
        <v>96</v>
      </c>
      <c r="P211" t="s">
        <v>96</v>
      </c>
      <c r="Q211" t="s">
        <v>126</v>
      </c>
      <c r="R211" t="s">
        <v>39</v>
      </c>
    </row>
    <row r="212" spans="1:18">
      <c r="A212">
        <v>212</v>
      </c>
      <c r="B212" t="s">
        <v>18</v>
      </c>
      <c r="C212">
        <v>79</v>
      </c>
      <c r="D212">
        <v>106</v>
      </c>
      <c r="E212">
        <v>5</v>
      </c>
      <c r="F212" t="s">
        <v>588</v>
      </c>
      <c r="G212" t="s">
        <v>592</v>
      </c>
      <c r="H212" t="s">
        <v>331</v>
      </c>
      <c r="I212" t="s">
        <v>332</v>
      </c>
      <c r="J212" t="s">
        <v>589</v>
      </c>
      <c r="K212" t="s">
        <v>67</v>
      </c>
      <c r="L212">
        <v>50</v>
      </c>
      <c r="M212">
        <v>2011</v>
      </c>
      <c r="N212" t="s">
        <v>31</v>
      </c>
      <c r="O212" t="s">
        <v>98</v>
      </c>
      <c r="P212" t="s">
        <v>38</v>
      </c>
      <c r="Q212" t="s">
        <v>68</v>
      </c>
      <c r="R212" t="s">
        <v>39</v>
      </c>
    </row>
    <row r="213" spans="1:18">
      <c r="A213">
        <v>213</v>
      </c>
      <c r="B213" t="s">
        <v>112</v>
      </c>
      <c r="C213">
        <v>79</v>
      </c>
      <c r="D213">
        <v>106</v>
      </c>
      <c r="E213">
        <v>4.8</v>
      </c>
      <c r="F213" t="s">
        <v>105</v>
      </c>
      <c r="G213" t="s">
        <v>70</v>
      </c>
      <c r="H213" t="s">
        <v>71</v>
      </c>
      <c r="I213" t="s">
        <v>72</v>
      </c>
      <c r="J213" t="s">
        <v>73</v>
      </c>
      <c r="K213" t="s">
        <v>106</v>
      </c>
      <c r="L213">
        <v>500</v>
      </c>
      <c r="M213">
        <v>2012</v>
      </c>
      <c r="N213" t="s">
        <v>31</v>
      </c>
      <c r="O213" t="s">
        <v>37</v>
      </c>
      <c r="P213" t="s">
        <v>38</v>
      </c>
      <c r="Q213" t="s">
        <v>27</v>
      </c>
      <c r="R213" t="s">
        <v>39</v>
      </c>
    </row>
    <row r="214" spans="1:18">
      <c r="A214">
        <v>214</v>
      </c>
      <c r="B214" t="s">
        <v>112</v>
      </c>
      <c r="C214">
        <v>79</v>
      </c>
      <c r="D214">
        <v>106</v>
      </c>
      <c r="E214">
        <v>3.9</v>
      </c>
      <c r="F214" t="s">
        <v>593</v>
      </c>
      <c r="G214" t="s">
        <v>594</v>
      </c>
      <c r="H214" t="s">
        <v>584</v>
      </c>
      <c r="I214" t="s">
        <v>585</v>
      </c>
      <c r="J214" t="s">
        <v>595</v>
      </c>
      <c r="K214" t="s">
        <v>23</v>
      </c>
      <c r="L214">
        <v>5000</v>
      </c>
      <c r="M214">
        <v>1947</v>
      </c>
      <c r="N214" t="s">
        <v>24</v>
      </c>
      <c r="O214" t="s">
        <v>51</v>
      </c>
      <c r="P214" t="s">
        <v>33</v>
      </c>
      <c r="Q214" t="s">
        <v>183</v>
      </c>
      <c r="R214" t="s">
        <v>596</v>
      </c>
    </row>
    <row r="215" spans="1:18">
      <c r="A215">
        <v>215</v>
      </c>
      <c r="B215" t="s">
        <v>18</v>
      </c>
      <c r="C215">
        <v>79</v>
      </c>
      <c r="D215">
        <v>106</v>
      </c>
      <c r="E215">
        <v>4</v>
      </c>
      <c r="F215" t="s">
        <v>329</v>
      </c>
      <c r="G215" t="s">
        <v>330</v>
      </c>
      <c r="H215" t="s">
        <v>331</v>
      </c>
      <c r="I215" t="s">
        <v>332</v>
      </c>
      <c r="J215" t="s">
        <v>333</v>
      </c>
      <c r="K215" t="s">
        <v>85</v>
      </c>
      <c r="M215">
        <v>1913</v>
      </c>
      <c r="N215" t="s">
        <v>50</v>
      </c>
      <c r="O215" t="s">
        <v>86</v>
      </c>
      <c r="P215" t="s">
        <v>86</v>
      </c>
      <c r="Q215" t="s">
        <v>87</v>
      </c>
      <c r="R215" t="s">
        <v>334</v>
      </c>
    </row>
    <row r="216" spans="1:18">
      <c r="A216">
        <v>216</v>
      </c>
      <c r="B216" t="s">
        <v>99</v>
      </c>
      <c r="C216">
        <v>79</v>
      </c>
      <c r="D216">
        <v>106</v>
      </c>
      <c r="E216">
        <v>4.3</v>
      </c>
      <c r="F216" t="s">
        <v>597</v>
      </c>
      <c r="G216" t="s">
        <v>570</v>
      </c>
      <c r="H216" t="s">
        <v>46</v>
      </c>
      <c r="I216" t="s">
        <v>47</v>
      </c>
      <c r="J216" t="s">
        <v>368</v>
      </c>
      <c r="K216" t="s">
        <v>56</v>
      </c>
      <c r="L216">
        <v>1000</v>
      </c>
      <c r="M216">
        <v>2010</v>
      </c>
      <c r="N216" t="s">
        <v>31</v>
      </c>
      <c r="O216" t="s">
        <v>98</v>
      </c>
      <c r="P216" t="s">
        <v>38</v>
      </c>
      <c r="Q216" t="s">
        <v>42</v>
      </c>
      <c r="R216" t="s">
        <v>598</v>
      </c>
    </row>
    <row r="217" spans="1:18">
      <c r="A217">
        <v>217</v>
      </c>
      <c r="B217" t="s">
        <v>112</v>
      </c>
      <c r="C217">
        <v>79</v>
      </c>
      <c r="D217">
        <v>106</v>
      </c>
      <c r="E217">
        <v>3.5</v>
      </c>
      <c r="F217" t="s">
        <v>599</v>
      </c>
      <c r="G217" t="s">
        <v>600</v>
      </c>
      <c r="H217" t="s">
        <v>120</v>
      </c>
      <c r="I217" t="s">
        <v>121</v>
      </c>
      <c r="J217" t="s">
        <v>601</v>
      </c>
      <c r="K217" t="s">
        <v>56</v>
      </c>
      <c r="L217">
        <v>1000</v>
      </c>
      <c r="M217">
        <v>1996</v>
      </c>
      <c r="N217" t="s">
        <v>24</v>
      </c>
      <c r="O217" t="s">
        <v>204</v>
      </c>
      <c r="P217" t="s">
        <v>205</v>
      </c>
      <c r="Q217" t="s">
        <v>183</v>
      </c>
      <c r="R217" t="s">
        <v>39</v>
      </c>
    </row>
    <row r="218" spans="1:18">
      <c r="A218">
        <v>218</v>
      </c>
      <c r="B218" t="s">
        <v>112</v>
      </c>
      <c r="C218">
        <v>79</v>
      </c>
      <c r="D218">
        <v>106</v>
      </c>
      <c r="E218">
        <v>3.7</v>
      </c>
      <c r="F218" t="s">
        <v>534</v>
      </c>
      <c r="G218" t="s">
        <v>70</v>
      </c>
      <c r="H218" t="s">
        <v>71</v>
      </c>
      <c r="I218" t="s">
        <v>72</v>
      </c>
      <c r="J218" t="s">
        <v>535</v>
      </c>
      <c r="K218" t="s">
        <v>49</v>
      </c>
      <c r="L218">
        <v>10000</v>
      </c>
      <c r="M218">
        <v>1851</v>
      </c>
      <c r="N218" t="s">
        <v>31</v>
      </c>
      <c r="O218" t="s">
        <v>25</v>
      </c>
      <c r="P218" t="s">
        <v>26</v>
      </c>
      <c r="Q218" t="s">
        <v>87</v>
      </c>
      <c r="R218" t="s">
        <v>39</v>
      </c>
    </row>
    <row r="219" spans="1:18">
      <c r="A219">
        <v>219</v>
      </c>
      <c r="B219" t="s">
        <v>103</v>
      </c>
      <c r="C219">
        <v>79</v>
      </c>
      <c r="D219">
        <v>106</v>
      </c>
      <c r="E219">
        <v>3.3</v>
      </c>
      <c r="F219" t="s">
        <v>295</v>
      </c>
      <c r="G219" t="s">
        <v>304</v>
      </c>
      <c r="H219" t="s">
        <v>120</v>
      </c>
      <c r="I219" t="s">
        <v>121</v>
      </c>
      <c r="J219" t="s">
        <v>155</v>
      </c>
      <c r="K219" t="s">
        <v>56</v>
      </c>
      <c r="L219">
        <v>1000</v>
      </c>
      <c r="M219">
        <v>2015</v>
      </c>
      <c r="N219" t="s">
        <v>31</v>
      </c>
      <c r="O219" t="s">
        <v>86</v>
      </c>
      <c r="P219" t="s">
        <v>86</v>
      </c>
      <c r="Q219" t="s">
        <v>27</v>
      </c>
      <c r="R219" t="s">
        <v>39</v>
      </c>
    </row>
    <row r="220" spans="1:18">
      <c r="A220">
        <v>220</v>
      </c>
      <c r="B220" t="s">
        <v>99</v>
      </c>
      <c r="C220">
        <v>79</v>
      </c>
      <c r="D220">
        <v>106</v>
      </c>
      <c r="E220">
        <v>3.1</v>
      </c>
      <c r="F220" t="s">
        <v>602</v>
      </c>
      <c r="G220" t="s">
        <v>603</v>
      </c>
      <c r="H220" t="s">
        <v>480</v>
      </c>
      <c r="I220" t="s">
        <v>481</v>
      </c>
      <c r="J220" t="s">
        <v>604</v>
      </c>
      <c r="K220" t="s">
        <v>23</v>
      </c>
      <c r="L220">
        <v>5000</v>
      </c>
      <c r="M220">
        <v>1955</v>
      </c>
      <c r="N220" t="s">
        <v>31</v>
      </c>
      <c r="O220" t="s">
        <v>436</v>
      </c>
      <c r="P220" t="s">
        <v>102</v>
      </c>
      <c r="Q220" t="s">
        <v>27</v>
      </c>
      <c r="R220" t="s">
        <v>39</v>
      </c>
    </row>
    <row r="221" spans="1:18">
      <c r="A221">
        <v>221</v>
      </c>
      <c r="B221" t="s">
        <v>18</v>
      </c>
      <c r="C221">
        <v>71</v>
      </c>
      <c r="D221">
        <v>123</v>
      </c>
      <c r="E221">
        <v>4.3</v>
      </c>
      <c r="F221" t="s">
        <v>40</v>
      </c>
      <c r="G221" t="s">
        <v>20</v>
      </c>
      <c r="H221" t="s">
        <v>21</v>
      </c>
      <c r="I221" t="s">
        <v>20</v>
      </c>
      <c r="J221" t="s">
        <v>22</v>
      </c>
      <c r="K221" t="s">
        <v>30</v>
      </c>
      <c r="L221">
        <v>200</v>
      </c>
      <c r="M221">
        <v>2011</v>
      </c>
      <c r="N221" t="s">
        <v>31</v>
      </c>
      <c r="O221" t="s">
        <v>41</v>
      </c>
      <c r="P221" t="s">
        <v>38</v>
      </c>
      <c r="Q221" t="s">
        <v>42</v>
      </c>
      <c r="R221" t="s">
        <v>43</v>
      </c>
    </row>
    <row r="222" spans="1:18">
      <c r="A222">
        <v>222</v>
      </c>
      <c r="B222" t="s">
        <v>18</v>
      </c>
      <c r="C222">
        <v>71</v>
      </c>
      <c r="D222">
        <v>123</v>
      </c>
      <c r="E222">
        <v>4.2</v>
      </c>
      <c r="F222" t="s">
        <v>161</v>
      </c>
      <c r="G222" t="s">
        <v>162</v>
      </c>
      <c r="H222" t="s">
        <v>163</v>
      </c>
      <c r="I222" t="s">
        <v>164</v>
      </c>
      <c r="J222" t="s">
        <v>165</v>
      </c>
      <c r="K222" t="s">
        <v>30</v>
      </c>
      <c r="L222">
        <v>200</v>
      </c>
      <c r="M222">
        <v>1996</v>
      </c>
      <c r="N222" t="s">
        <v>31</v>
      </c>
      <c r="O222" t="s">
        <v>101</v>
      </c>
      <c r="P222" t="s">
        <v>102</v>
      </c>
      <c r="Q222" t="s">
        <v>42</v>
      </c>
      <c r="R222" t="s">
        <v>39</v>
      </c>
    </row>
    <row r="223" spans="1:18">
      <c r="A223">
        <v>223</v>
      </c>
      <c r="B223" t="s">
        <v>195</v>
      </c>
      <c r="C223">
        <v>71</v>
      </c>
      <c r="D223">
        <v>123</v>
      </c>
      <c r="E223">
        <v>4.4000000000000004</v>
      </c>
      <c r="F223" t="s">
        <v>520</v>
      </c>
      <c r="G223" t="s">
        <v>521</v>
      </c>
      <c r="H223" t="s">
        <v>259</v>
      </c>
      <c r="I223" t="s">
        <v>260</v>
      </c>
      <c r="J223" t="s">
        <v>522</v>
      </c>
      <c r="K223" t="s">
        <v>106</v>
      </c>
      <c r="L223">
        <v>500</v>
      </c>
      <c r="M223">
        <v>1998</v>
      </c>
      <c r="N223" t="s">
        <v>31</v>
      </c>
      <c r="O223" t="s">
        <v>523</v>
      </c>
      <c r="P223" t="s">
        <v>102</v>
      </c>
      <c r="Q223" t="s">
        <v>198</v>
      </c>
      <c r="R223" t="s">
        <v>39</v>
      </c>
    </row>
    <row r="224" spans="1:18">
      <c r="A224">
        <v>224</v>
      </c>
      <c r="B224" t="s">
        <v>18</v>
      </c>
      <c r="C224">
        <v>71</v>
      </c>
      <c r="D224">
        <v>123</v>
      </c>
      <c r="E224">
        <v>3.6</v>
      </c>
      <c r="F224" t="s">
        <v>605</v>
      </c>
      <c r="G224" t="s">
        <v>129</v>
      </c>
      <c r="H224" t="s">
        <v>120</v>
      </c>
      <c r="I224" t="s">
        <v>121</v>
      </c>
      <c r="J224" t="s">
        <v>36</v>
      </c>
      <c r="K224" t="s">
        <v>56</v>
      </c>
      <c r="L224">
        <v>1000</v>
      </c>
      <c r="M224">
        <v>2014</v>
      </c>
      <c r="N224" t="s">
        <v>31</v>
      </c>
      <c r="O224" t="s">
        <v>500</v>
      </c>
      <c r="P224" t="s">
        <v>500</v>
      </c>
      <c r="Q224" t="s">
        <v>126</v>
      </c>
      <c r="R224" t="s">
        <v>39</v>
      </c>
    </row>
    <row r="225" spans="1:18">
      <c r="A225">
        <v>225</v>
      </c>
      <c r="B225" t="s">
        <v>18</v>
      </c>
      <c r="C225">
        <v>71</v>
      </c>
      <c r="D225">
        <v>123</v>
      </c>
      <c r="E225">
        <v>4.5</v>
      </c>
      <c r="F225" t="s">
        <v>606</v>
      </c>
      <c r="G225" t="s">
        <v>607</v>
      </c>
      <c r="H225" t="s">
        <v>608</v>
      </c>
      <c r="I225" t="s">
        <v>609</v>
      </c>
      <c r="J225" t="s">
        <v>610</v>
      </c>
      <c r="K225" t="s">
        <v>30</v>
      </c>
      <c r="L225">
        <v>200</v>
      </c>
      <c r="M225">
        <v>2008</v>
      </c>
      <c r="N225" t="s">
        <v>31</v>
      </c>
      <c r="O225" t="s">
        <v>98</v>
      </c>
      <c r="P225" t="s">
        <v>38</v>
      </c>
      <c r="Q225" t="s">
        <v>359</v>
      </c>
      <c r="R225" t="s">
        <v>39</v>
      </c>
    </row>
    <row r="226" spans="1:18">
      <c r="A226">
        <v>226</v>
      </c>
      <c r="B226" t="s">
        <v>18</v>
      </c>
      <c r="C226">
        <v>71</v>
      </c>
      <c r="D226">
        <v>123</v>
      </c>
      <c r="E226">
        <v>3</v>
      </c>
      <c r="F226" t="s">
        <v>611</v>
      </c>
      <c r="G226" t="s">
        <v>152</v>
      </c>
      <c r="H226" t="s">
        <v>153</v>
      </c>
      <c r="I226" t="s">
        <v>154</v>
      </c>
      <c r="J226" t="s">
        <v>612</v>
      </c>
      <c r="K226" t="s">
        <v>23</v>
      </c>
      <c r="L226">
        <v>5000</v>
      </c>
      <c r="M226">
        <v>1999</v>
      </c>
      <c r="N226" t="s">
        <v>31</v>
      </c>
      <c r="O226" t="s">
        <v>98</v>
      </c>
      <c r="P226" t="s">
        <v>38</v>
      </c>
      <c r="Q226" t="s">
        <v>42</v>
      </c>
      <c r="R226" t="s">
        <v>39</v>
      </c>
    </row>
    <row r="227" spans="1:18">
      <c r="A227">
        <v>227</v>
      </c>
      <c r="B227" t="s">
        <v>18</v>
      </c>
      <c r="C227">
        <v>71</v>
      </c>
      <c r="D227">
        <v>123</v>
      </c>
      <c r="E227">
        <v>5</v>
      </c>
      <c r="F227" t="s">
        <v>613</v>
      </c>
      <c r="G227" t="s">
        <v>192</v>
      </c>
      <c r="H227" t="s">
        <v>112</v>
      </c>
      <c r="I227" t="s">
        <v>193</v>
      </c>
      <c r="J227" t="s">
        <v>614</v>
      </c>
      <c r="K227" t="s">
        <v>30</v>
      </c>
      <c r="L227">
        <v>200</v>
      </c>
      <c r="M227">
        <v>2018</v>
      </c>
      <c r="N227" t="s">
        <v>31</v>
      </c>
      <c r="O227" t="s">
        <v>615</v>
      </c>
      <c r="P227" t="s">
        <v>80</v>
      </c>
      <c r="Q227" t="s">
        <v>27</v>
      </c>
      <c r="R227" t="s">
        <v>39</v>
      </c>
    </row>
    <row r="228" spans="1:18">
      <c r="A228">
        <v>228</v>
      </c>
      <c r="B228" t="s">
        <v>103</v>
      </c>
      <c r="C228">
        <v>71</v>
      </c>
      <c r="D228">
        <v>123</v>
      </c>
      <c r="E228">
        <v>3.6</v>
      </c>
      <c r="F228" t="s">
        <v>616</v>
      </c>
      <c r="G228" t="s">
        <v>617</v>
      </c>
      <c r="H228" t="s">
        <v>259</v>
      </c>
      <c r="I228" t="s">
        <v>260</v>
      </c>
      <c r="J228" t="s">
        <v>524</v>
      </c>
      <c r="K228" t="s">
        <v>56</v>
      </c>
      <c r="L228">
        <v>1000</v>
      </c>
      <c r="M228">
        <v>1967</v>
      </c>
      <c r="N228" t="s">
        <v>24</v>
      </c>
      <c r="O228" t="s">
        <v>62</v>
      </c>
      <c r="P228" t="s">
        <v>63</v>
      </c>
      <c r="Q228" t="s">
        <v>198</v>
      </c>
      <c r="R228" t="s">
        <v>39</v>
      </c>
    </row>
    <row r="229" spans="1:18">
      <c r="A229">
        <v>229</v>
      </c>
      <c r="B229" t="s">
        <v>112</v>
      </c>
      <c r="C229">
        <v>71</v>
      </c>
      <c r="D229">
        <v>123</v>
      </c>
      <c r="E229">
        <v>3.6</v>
      </c>
      <c r="F229" t="s">
        <v>618</v>
      </c>
      <c r="G229" t="s">
        <v>592</v>
      </c>
      <c r="H229" t="s">
        <v>331</v>
      </c>
      <c r="I229" t="s">
        <v>332</v>
      </c>
      <c r="J229" t="s">
        <v>619</v>
      </c>
      <c r="K229" t="s">
        <v>49</v>
      </c>
      <c r="L229">
        <v>10000</v>
      </c>
      <c r="M229">
        <v>1937</v>
      </c>
      <c r="N229" t="s">
        <v>50</v>
      </c>
      <c r="O229" t="s">
        <v>101</v>
      </c>
      <c r="P229" t="s">
        <v>102</v>
      </c>
      <c r="Q229" t="s">
        <v>126</v>
      </c>
      <c r="R229" t="s">
        <v>39</v>
      </c>
    </row>
    <row r="230" spans="1:18">
      <c r="A230">
        <v>230</v>
      </c>
      <c r="B230" t="s">
        <v>18</v>
      </c>
      <c r="C230">
        <v>71</v>
      </c>
      <c r="D230">
        <v>123</v>
      </c>
      <c r="E230">
        <v>-1</v>
      </c>
      <c r="F230" t="s">
        <v>620</v>
      </c>
      <c r="G230" t="s">
        <v>621</v>
      </c>
      <c r="H230" t="s">
        <v>46</v>
      </c>
      <c r="I230" t="s">
        <v>47</v>
      </c>
      <c r="J230" t="s">
        <v>622</v>
      </c>
      <c r="K230" t="s">
        <v>67</v>
      </c>
      <c r="L230">
        <v>50</v>
      </c>
      <c r="M230">
        <v>-1</v>
      </c>
      <c r="N230" t="s">
        <v>31</v>
      </c>
      <c r="O230" t="s">
        <v>98</v>
      </c>
      <c r="P230" t="s">
        <v>38</v>
      </c>
      <c r="Q230" t="s">
        <v>359</v>
      </c>
      <c r="R230" t="s">
        <v>39</v>
      </c>
    </row>
    <row r="231" spans="1:18">
      <c r="A231">
        <v>231</v>
      </c>
      <c r="B231" t="s">
        <v>112</v>
      </c>
      <c r="C231">
        <v>71</v>
      </c>
      <c r="D231">
        <v>123</v>
      </c>
      <c r="E231">
        <v>3.8</v>
      </c>
      <c r="F231" t="s">
        <v>456</v>
      </c>
      <c r="G231" t="s">
        <v>415</v>
      </c>
      <c r="H231" t="s">
        <v>331</v>
      </c>
      <c r="I231" t="s">
        <v>332</v>
      </c>
      <c r="J231" t="s">
        <v>416</v>
      </c>
      <c r="K231" t="s">
        <v>56</v>
      </c>
      <c r="L231">
        <v>1000</v>
      </c>
      <c r="M231">
        <v>2013</v>
      </c>
      <c r="N231" t="s">
        <v>284</v>
      </c>
      <c r="O231" t="s">
        <v>86</v>
      </c>
      <c r="P231" t="s">
        <v>86</v>
      </c>
      <c r="Q231" t="s">
        <v>42</v>
      </c>
      <c r="R231" t="s">
        <v>457</v>
      </c>
    </row>
    <row r="232" spans="1:18">
      <c r="A232">
        <v>232</v>
      </c>
      <c r="B232" t="s">
        <v>18</v>
      </c>
      <c r="C232">
        <v>71</v>
      </c>
      <c r="D232">
        <v>123</v>
      </c>
      <c r="E232">
        <v>3.3</v>
      </c>
      <c r="F232" t="s">
        <v>530</v>
      </c>
      <c r="G232" t="s">
        <v>531</v>
      </c>
      <c r="H232" t="s">
        <v>209</v>
      </c>
      <c r="I232" t="s">
        <v>210</v>
      </c>
      <c r="J232" t="s">
        <v>532</v>
      </c>
      <c r="K232" t="s">
        <v>49</v>
      </c>
      <c r="L232">
        <v>10000</v>
      </c>
      <c r="M232">
        <v>1850</v>
      </c>
      <c r="N232" t="s">
        <v>50</v>
      </c>
      <c r="O232" t="s">
        <v>96</v>
      </c>
      <c r="P232" t="s">
        <v>96</v>
      </c>
      <c r="Q232" t="s">
        <v>183</v>
      </c>
      <c r="R232" t="s">
        <v>39</v>
      </c>
    </row>
    <row r="233" spans="1:18">
      <c r="A233">
        <v>233</v>
      </c>
      <c r="B233" t="s">
        <v>99</v>
      </c>
      <c r="C233">
        <v>71</v>
      </c>
      <c r="D233">
        <v>123</v>
      </c>
      <c r="E233">
        <v>3.8</v>
      </c>
      <c r="F233" t="s">
        <v>623</v>
      </c>
      <c r="G233" t="s">
        <v>624</v>
      </c>
      <c r="H233" t="s">
        <v>625</v>
      </c>
      <c r="I233" t="s">
        <v>626</v>
      </c>
      <c r="J233" t="s">
        <v>627</v>
      </c>
      <c r="K233" t="s">
        <v>23</v>
      </c>
      <c r="L233">
        <v>5000</v>
      </c>
      <c r="M233">
        <v>2017</v>
      </c>
      <c r="N233" t="s">
        <v>50</v>
      </c>
      <c r="O233" t="s">
        <v>25</v>
      </c>
      <c r="P233" t="s">
        <v>26</v>
      </c>
      <c r="Q233" t="s">
        <v>27</v>
      </c>
      <c r="R233" t="s">
        <v>39</v>
      </c>
    </row>
    <row r="234" spans="1:18">
      <c r="A234">
        <v>234</v>
      </c>
      <c r="B234" t="s">
        <v>18</v>
      </c>
      <c r="C234">
        <v>71</v>
      </c>
      <c r="D234">
        <v>123</v>
      </c>
      <c r="E234">
        <v>3.5</v>
      </c>
      <c r="F234" t="s">
        <v>528</v>
      </c>
      <c r="G234" t="s">
        <v>20</v>
      </c>
      <c r="H234" t="s">
        <v>21</v>
      </c>
      <c r="I234" t="s">
        <v>20</v>
      </c>
      <c r="J234" t="s">
        <v>529</v>
      </c>
      <c r="K234" t="s">
        <v>23</v>
      </c>
      <c r="L234">
        <v>5000</v>
      </c>
      <c r="M234">
        <v>1948</v>
      </c>
      <c r="N234" t="s">
        <v>50</v>
      </c>
      <c r="O234" t="s">
        <v>25</v>
      </c>
      <c r="P234" t="s">
        <v>26</v>
      </c>
      <c r="Q234" t="s">
        <v>52</v>
      </c>
      <c r="R234" t="s">
        <v>39</v>
      </c>
    </row>
    <row r="235" spans="1:18">
      <c r="A235">
        <v>235</v>
      </c>
      <c r="B235" t="s">
        <v>18</v>
      </c>
      <c r="C235">
        <v>71</v>
      </c>
      <c r="D235">
        <v>123</v>
      </c>
      <c r="E235">
        <v>3.3</v>
      </c>
      <c r="F235" t="s">
        <v>628</v>
      </c>
      <c r="G235" t="s">
        <v>629</v>
      </c>
      <c r="H235" t="s">
        <v>153</v>
      </c>
      <c r="I235" t="s">
        <v>154</v>
      </c>
      <c r="J235" t="s">
        <v>630</v>
      </c>
      <c r="K235" t="s">
        <v>85</v>
      </c>
      <c r="M235">
        <v>1971</v>
      </c>
      <c r="N235" t="s">
        <v>50</v>
      </c>
      <c r="O235" t="s">
        <v>631</v>
      </c>
      <c r="P235" t="s">
        <v>431</v>
      </c>
      <c r="Q235" t="s">
        <v>52</v>
      </c>
      <c r="R235" t="s">
        <v>632</v>
      </c>
    </row>
    <row r="236" spans="1:18">
      <c r="A236">
        <v>236</v>
      </c>
      <c r="B236" t="s">
        <v>18</v>
      </c>
      <c r="C236">
        <v>71</v>
      </c>
      <c r="D236">
        <v>123</v>
      </c>
      <c r="E236">
        <v>4.5999999999999996</v>
      </c>
      <c r="F236" t="s">
        <v>633</v>
      </c>
      <c r="G236" t="s">
        <v>129</v>
      </c>
      <c r="H236" t="s">
        <v>120</v>
      </c>
      <c r="I236" t="s">
        <v>121</v>
      </c>
      <c r="J236" t="s">
        <v>634</v>
      </c>
      <c r="K236" t="s">
        <v>67</v>
      </c>
      <c r="L236">
        <v>50</v>
      </c>
      <c r="M236">
        <v>-1</v>
      </c>
      <c r="N236" t="s">
        <v>31</v>
      </c>
      <c r="O236" t="s">
        <v>37</v>
      </c>
      <c r="P236" t="s">
        <v>38</v>
      </c>
      <c r="Q236" t="s">
        <v>378</v>
      </c>
      <c r="R236" t="s">
        <v>39</v>
      </c>
    </row>
    <row r="237" spans="1:18">
      <c r="A237">
        <v>237</v>
      </c>
      <c r="B237" t="s">
        <v>18</v>
      </c>
      <c r="C237">
        <v>71</v>
      </c>
      <c r="D237">
        <v>123</v>
      </c>
      <c r="E237">
        <v>3.8</v>
      </c>
      <c r="F237" t="s">
        <v>635</v>
      </c>
      <c r="G237" t="s">
        <v>192</v>
      </c>
      <c r="H237" t="s">
        <v>214</v>
      </c>
      <c r="I237" t="s">
        <v>215</v>
      </c>
      <c r="J237" t="s">
        <v>549</v>
      </c>
      <c r="K237" t="s">
        <v>85</v>
      </c>
      <c r="M237">
        <v>1998</v>
      </c>
      <c r="N237" t="s">
        <v>50</v>
      </c>
      <c r="O237" t="s">
        <v>41</v>
      </c>
      <c r="P237" t="s">
        <v>38</v>
      </c>
      <c r="Q237" t="s">
        <v>87</v>
      </c>
      <c r="R237" t="s">
        <v>636</v>
      </c>
    </row>
    <row r="238" spans="1:18">
      <c r="A238">
        <v>238</v>
      </c>
      <c r="B238" t="s">
        <v>99</v>
      </c>
      <c r="C238">
        <v>71</v>
      </c>
      <c r="D238">
        <v>123</v>
      </c>
      <c r="E238">
        <v>3.9</v>
      </c>
      <c r="F238" t="s">
        <v>533</v>
      </c>
      <c r="G238" t="s">
        <v>129</v>
      </c>
      <c r="H238" t="s">
        <v>120</v>
      </c>
      <c r="I238" t="s">
        <v>121</v>
      </c>
      <c r="J238" t="s">
        <v>36</v>
      </c>
      <c r="K238" t="s">
        <v>30</v>
      </c>
      <c r="L238">
        <v>200</v>
      </c>
      <c r="M238">
        <v>2008</v>
      </c>
      <c r="N238" t="s">
        <v>50</v>
      </c>
      <c r="O238" t="s">
        <v>41</v>
      </c>
      <c r="P238" t="s">
        <v>38</v>
      </c>
      <c r="Q238" t="s">
        <v>27</v>
      </c>
      <c r="R238" t="s">
        <v>39</v>
      </c>
    </row>
    <row r="239" spans="1:18">
      <c r="A239">
        <v>239</v>
      </c>
      <c r="B239" t="s">
        <v>18</v>
      </c>
      <c r="C239">
        <v>71</v>
      </c>
      <c r="D239">
        <v>123</v>
      </c>
      <c r="E239">
        <v>3.9</v>
      </c>
      <c r="F239" t="s">
        <v>637</v>
      </c>
      <c r="G239" t="s">
        <v>213</v>
      </c>
      <c r="H239" t="s">
        <v>214</v>
      </c>
      <c r="I239" t="s">
        <v>215</v>
      </c>
      <c r="J239" t="s">
        <v>638</v>
      </c>
      <c r="K239" t="s">
        <v>67</v>
      </c>
      <c r="L239">
        <v>50</v>
      </c>
      <c r="M239">
        <v>-1</v>
      </c>
      <c r="N239" t="s">
        <v>31</v>
      </c>
      <c r="O239" t="s">
        <v>75</v>
      </c>
      <c r="P239" t="s">
        <v>33</v>
      </c>
      <c r="Q239" t="s">
        <v>27</v>
      </c>
      <c r="R239" t="s">
        <v>39</v>
      </c>
    </row>
    <row r="240" spans="1:18">
      <c r="A240">
        <v>240</v>
      </c>
      <c r="B240" t="s">
        <v>18</v>
      </c>
      <c r="C240">
        <v>90</v>
      </c>
      <c r="D240">
        <v>124</v>
      </c>
      <c r="E240">
        <v>4.7</v>
      </c>
      <c r="F240" t="s">
        <v>166</v>
      </c>
      <c r="G240" t="s">
        <v>167</v>
      </c>
      <c r="H240" t="s">
        <v>168</v>
      </c>
      <c r="I240" t="s">
        <v>169</v>
      </c>
      <c r="J240" t="s">
        <v>170</v>
      </c>
      <c r="K240" t="s">
        <v>30</v>
      </c>
      <c r="L240">
        <v>200</v>
      </c>
      <c r="M240">
        <v>2003</v>
      </c>
      <c r="N240" t="s">
        <v>31</v>
      </c>
      <c r="O240" t="s">
        <v>37</v>
      </c>
      <c r="P240" t="s">
        <v>38</v>
      </c>
      <c r="Q240" t="s">
        <v>64</v>
      </c>
      <c r="R240" t="s">
        <v>39</v>
      </c>
    </row>
    <row r="241" spans="1:18">
      <c r="A241">
        <v>241</v>
      </c>
      <c r="B241" t="s">
        <v>18</v>
      </c>
      <c r="C241">
        <v>90</v>
      </c>
      <c r="D241">
        <v>124</v>
      </c>
      <c r="E241">
        <v>4.8</v>
      </c>
      <c r="F241" t="s">
        <v>229</v>
      </c>
      <c r="G241" t="s">
        <v>230</v>
      </c>
      <c r="H241" t="s">
        <v>226</v>
      </c>
      <c r="I241" t="s">
        <v>227</v>
      </c>
      <c r="J241" t="s">
        <v>231</v>
      </c>
      <c r="K241" t="s">
        <v>23</v>
      </c>
      <c r="L241">
        <v>5000</v>
      </c>
      <c r="M241">
        <v>1925</v>
      </c>
      <c r="N241" t="s">
        <v>31</v>
      </c>
      <c r="O241" t="s">
        <v>25</v>
      </c>
      <c r="P241" t="s">
        <v>26</v>
      </c>
      <c r="Q241" t="s">
        <v>52</v>
      </c>
      <c r="R241" t="s">
        <v>39</v>
      </c>
    </row>
    <row r="242" spans="1:18">
      <c r="A242">
        <v>242</v>
      </c>
      <c r="B242" t="s">
        <v>195</v>
      </c>
      <c r="C242">
        <v>90</v>
      </c>
      <c r="D242">
        <v>124</v>
      </c>
      <c r="E242">
        <v>3.1</v>
      </c>
      <c r="F242" t="s">
        <v>639</v>
      </c>
      <c r="G242" t="s">
        <v>20</v>
      </c>
      <c r="H242" t="s">
        <v>21</v>
      </c>
      <c r="I242" t="s">
        <v>20</v>
      </c>
      <c r="J242" t="s">
        <v>22</v>
      </c>
      <c r="K242" t="s">
        <v>106</v>
      </c>
      <c r="L242">
        <v>500</v>
      </c>
      <c r="M242">
        <v>2000</v>
      </c>
      <c r="N242" t="s">
        <v>31</v>
      </c>
      <c r="O242" t="s">
        <v>37</v>
      </c>
      <c r="P242" t="s">
        <v>38</v>
      </c>
      <c r="Q242" t="s">
        <v>198</v>
      </c>
      <c r="R242" t="s">
        <v>39</v>
      </c>
    </row>
    <row r="243" spans="1:18">
      <c r="A243">
        <v>243</v>
      </c>
      <c r="B243" t="s">
        <v>18</v>
      </c>
      <c r="C243">
        <v>90</v>
      </c>
      <c r="D243">
        <v>124</v>
      </c>
      <c r="E243">
        <v>3.6</v>
      </c>
      <c r="F243" t="s">
        <v>640</v>
      </c>
      <c r="G243" t="s">
        <v>138</v>
      </c>
      <c r="H243" t="s">
        <v>120</v>
      </c>
      <c r="I243" t="s">
        <v>121</v>
      </c>
      <c r="J243" t="s">
        <v>125</v>
      </c>
      <c r="K243" t="s">
        <v>106</v>
      </c>
      <c r="L243">
        <v>500</v>
      </c>
      <c r="M243">
        <v>2006</v>
      </c>
      <c r="N243" t="s">
        <v>31</v>
      </c>
      <c r="O243" t="s">
        <v>57</v>
      </c>
      <c r="P243" t="s">
        <v>38</v>
      </c>
      <c r="Q243" t="s">
        <v>140</v>
      </c>
      <c r="R243" t="s">
        <v>39</v>
      </c>
    </row>
    <row r="244" spans="1:18">
      <c r="A244">
        <v>244</v>
      </c>
      <c r="B244" t="s">
        <v>112</v>
      </c>
      <c r="C244">
        <v>90</v>
      </c>
      <c r="D244">
        <v>124</v>
      </c>
      <c r="E244">
        <v>5</v>
      </c>
      <c r="F244" t="s">
        <v>641</v>
      </c>
      <c r="G244" t="s">
        <v>642</v>
      </c>
      <c r="H244" t="s">
        <v>244</v>
      </c>
      <c r="I244" t="s">
        <v>245</v>
      </c>
      <c r="J244" t="s">
        <v>643</v>
      </c>
      <c r="K244" t="s">
        <v>67</v>
      </c>
      <c r="L244">
        <v>50</v>
      </c>
      <c r="M244">
        <v>2009</v>
      </c>
      <c r="N244" t="s">
        <v>31</v>
      </c>
      <c r="O244" t="s">
        <v>86</v>
      </c>
      <c r="P244" t="s">
        <v>86</v>
      </c>
      <c r="Q244" t="s">
        <v>27</v>
      </c>
      <c r="R244" t="s">
        <v>39</v>
      </c>
    </row>
    <row r="245" spans="1:18">
      <c r="A245">
        <v>245</v>
      </c>
      <c r="B245" t="s">
        <v>18</v>
      </c>
      <c r="C245">
        <v>90</v>
      </c>
      <c r="D245">
        <v>124</v>
      </c>
      <c r="E245">
        <v>3.7</v>
      </c>
      <c r="F245" t="s">
        <v>644</v>
      </c>
      <c r="G245" t="s">
        <v>83</v>
      </c>
      <c r="H245" t="s">
        <v>71</v>
      </c>
      <c r="I245" t="s">
        <v>72</v>
      </c>
      <c r="J245" t="s">
        <v>645</v>
      </c>
      <c r="K245" t="s">
        <v>85</v>
      </c>
      <c r="M245">
        <v>1973</v>
      </c>
      <c r="N245" t="s">
        <v>50</v>
      </c>
      <c r="O245" t="s">
        <v>86</v>
      </c>
      <c r="P245" t="s">
        <v>86</v>
      </c>
      <c r="Q245" t="s">
        <v>87</v>
      </c>
      <c r="R245" t="s">
        <v>646</v>
      </c>
    </row>
    <row r="246" spans="1:18">
      <c r="A246">
        <v>246</v>
      </c>
      <c r="B246" t="s">
        <v>18</v>
      </c>
      <c r="C246">
        <v>90</v>
      </c>
      <c r="D246">
        <v>124</v>
      </c>
      <c r="E246">
        <v>3.7</v>
      </c>
      <c r="F246" t="s">
        <v>647</v>
      </c>
      <c r="G246" t="s">
        <v>648</v>
      </c>
      <c r="H246" t="s">
        <v>273</v>
      </c>
      <c r="I246" t="s">
        <v>274</v>
      </c>
      <c r="J246" t="s">
        <v>649</v>
      </c>
      <c r="K246" t="s">
        <v>85</v>
      </c>
      <c r="M246">
        <v>2011</v>
      </c>
      <c r="N246" t="s">
        <v>50</v>
      </c>
      <c r="O246" t="s">
        <v>650</v>
      </c>
      <c r="P246" t="s">
        <v>267</v>
      </c>
      <c r="Q246" t="s">
        <v>87</v>
      </c>
      <c r="R246" t="s">
        <v>651</v>
      </c>
    </row>
    <row r="247" spans="1:18">
      <c r="A247">
        <v>247</v>
      </c>
      <c r="B247" t="s">
        <v>18</v>
      </c>
      <c r="C247">
        <v>90</v>
      </c>
      <c r="D247">
        <v>124</v>
      </c>
      <c r="E247">
        <v>3.9</v>
      </c>
      <c r="F247" t="s">
        <v>652</v>
      </c>
      <c r="G247" t="s">
        <v>653</v>
      </c>
      <c r="H247" t="s">
        <v>120</v>
      </c>
      <c r="I247" t="s">
        <v>121</v>
      </c>
      <c r="J247" t="s">
        <v>654</v>
      </c>
      <c r="K247" t="s">
        <v>30</v>
      </c>
      <c r="L247">
        <v>200</v>
      </c>
      <c r="M247">
        <v>2000</v>
      </c>
      <c r="N247" t="s">
        <v>31</v>
      </c>
      <c r="O247" t="s">
        <v>25</v>
      </c>
      <c r="P247" t="s">
        <v>26</v>
      </c>
      <c r="Q247" t="s">
        <v>140</v>
      </c>
      <c r="R247" t="s">
        <v>39</v>
      </c>
    </row>
    <row r="248" spans="1:18">
      <c r="A248">
        <v>248</v>
      </c>
      <c r="B248" t="s">
        <v>18</v>
      </c>
      <c r="C248">
        <v>90</v>
      </c>
      <c r="D248">
        <v>124</v>
      </c>
      <c r="E248">
        <v>4.3</v>
      </c>
      <c r="F248" t="s">
        <v>655</v>
      </c>
      <c r="G248" t="s">
        <v>129</v>
      </c>
      <c r="H248" t="s">
        <v>120</v>
      </c>
      <c r="I248" t="s">
        <v>121</v>
      </c>
      <c r="J248" t="s">
        <v>656</v>
      </c>
      <c r="K248" t="s">
        <v>67</v>
      </c>
      <c r="L248">
        <v>50</v>
      </c>
      <c r="M248">
        <v>-1</v>
      </c>
      <c r="N248" t="s">
        <v>31</v>
      </c>
      <c r="O248" t="s">
        <v>39</v>
      </c>
      <c r="P248">
        <v>-1</v>
      </c>
      <c r="Q248" t="s">
        <v>378</v>
      </c>
      <c r="R248" t="s">
        <v>39</v>
      </c>
    </row>
    <row r="249" spans="1:18">
      <c r="A249">
        <v>249</v>
      </c>
      <c r="B249" t="s">
        <v>112</v>
      </c>
      <c r="C249">
        <v>90</v>
      </c>
      <c r="D249">
        <v>124</v>
      </c>
      <c r="E249">
        <v>4.2</v>
      </c>
      <c r="F249" t="s">
        <v>657</v>
      </c>
      <c r="G249" t="s">
        <v>658</v>
      </c>
      <c r="H249" t="s">
        <v>163</v>
      </c>
      <c r="I249" t="s">
        <v>164</v>
      </c>
      <c r="J249" t="s">
        <v>659</v>
      </c>
      <c r="K249" t="s">
        <v>106</v>
      </c>
      <c r="L249">
        <v>500</v>
      </c>
      <c r="M249">
        <v>1983</v>
      </c>
      <c r="N249" t="s">
        <v>31</v>
      </c>
      <c r="O249" t="s">
        <v>96</v>
      </c>
      <c r="P249" t="s">
        <v>96</v>
      </c>
      <c r="Q249" t="s">
        <v>198</v>
      </c>
      <c r="R249" t="s">
        <v>660</v>
      </c>
    </row>
    <row r="250" spans="1:18">
      <c r="A250">
        <v>250</v>
      </c>
      <c r="B250" t="s">
        <v>18</v>
      </c>
      <c r="C250">
        <v>90</v>
      </c>
      <c r="D250">
        <v>124</v>
      </c>
      <c r="E250">
        <v>3.7</v>
      </c>
      <c r="F250" t="s">
        <v>534</v>
      </c>
      <c r="G250" t="s">
        <v>70</v>
      </c>
      <c r="H250" t="s">
        <v>71</v>
      </c>
      <c r="I250" t="s">
        <v>72</v>
      </c>
      <c r="J250" t="s">
        <v>535</v>
      </c>
      <c r="K250" t="s">
        <v>49</v>
      </c>
      <c r="L250">
        <v>10000</v>
      </c>
      <c r="M250">
        <v>1851</v>
      </c>
      <c r="N250" t="s">
        <v>31</v>
      </c>
      <c r="O250" t="s">
        <v>25</v>
      </c>
      <c r="P250" t="s">
        <v>26</v>
      </c>
      <c r="Q250" t="s">
        <v>87</v>
      </c>
      <c r="R250" t="s">
        <v>39</v>
      </c>
    </row>
    <row r="251" spans="1:18">
      <c r="A251">
        <v>251</v>
      </c>
      <c r="B251" t="s">
        <v>18</v>
      </c>
      <c r="C251">
        <v>90</v>
      </c>
      <c r="D251">
        <v>124</v>
      </c>
      <c r="E251">
        <v>4</v>
      </c>
      <c r="F251" t="s">
        <v>661</v>
      </c>
      <c r="G251" t="s">
        <v>502</v>
      </c>
      <c r="H251" t="s">
        <v>503</v>
      </c>
      <c r="I251" t="s">
        <v>504</v>
      </c>
      <c r="J251" t="s">
        <v>662</v>
      </c>
      <c r="K251" t="s">
        <v>67</v>
      </c>
      <c r="L251">
        <v>50</v>
      </c>
      <c r="M251">
        <v>-1</v>
      </c>
      <c r="N251" t="s">
        <v>31</v>
      </c>
      <c r="O251" t="s">
        <v>39</v>
      </c>
      <c r="P251">
        <v>-1</v>
      </c>
      <c r="Q251" t="s">
        <v>27</v>
      </c>
      <c r="R251" t="s">
        <v>39</v>
      </c>
    </row>
    <row r="252" spans="1:18">
      <c r="A252">
        <v>252</v>
      </c>
      <c r="B252" t="s">
        <v>18</v>
      </c>
      <c r="C252">
        <v>90</v>
      </c>
      <c r="D252">
        <v>124</v>
      </c>
      <c r="E252">
        <v>3.3</v>
      </c>
      <c r="F252" t="s">
        <v>663</v>
      </c>
      <c r="G252" t="s">
        <v>664</v>
      </c>
      <c r="H252" t="s">
        <v>259</v>
      </c>
      <c r="I252" t="s">
        <v>260</v>
      </c>
      <c r="J252" t="s">
        <v>665</v>
      </c>
      <c r="K252" t="s">
        <v>85</v>
      </c>
      <c r="M252">
        <v>1917</v>
      </c>
      <c r="N252" t="s">
        <v>50</v>
      </c>
      <c r="O252" t="s">
        <v>310</v>
      </c>
      <c r="P252" t="s">
        <v>80</v>
      </c>
      <c r="Q252" t="s">
        <v>87</v>
      </c>
      <c r="R252" t="s">
        <v>666</v>
      </c>
    </row>
    <row r="253" spans="1:18">
      <c r="A253">
        <v>253</v>
      </c>
      <c r="B253" t="s">
        <v>18</v>
      </c>
      <c r="C253">
        <v>90</v>
      </c>
      <c r="D253">
        <v>124</v>
      </c>
      <c r="E253">
        <v>4.0999999999999996</v>
      </c>
      <c r="F253" t="s">
        <v>667</v>
      </c>
      <c r="G253" t="s">
        <v>20</v>
      </c>
      <c r="H253" t="s">
        <v>21</v>
      </c>
      <c r="I253" t="s">
        <v>20</v>
      </c>
      <c r="J253" t="s">
        <v>194</v>
      </c>
      <c r="K253" t="s">
        <v>23</v>
      </c>
      <c r="L253">
        <v>5000</v>
      </c>
      <c r="M253">
        <v>1935</v>
      </c>
      <c r="N253" t="s">
        <v>31</v>
      </c>
      <c r="O253" t="s">
        <v>75</v>
      </c>
      <c r="P253" t="s">
        <v>33</v>
      </c>
      <c r="Q253" t="s">
        <v>27</v>
      </c>
      <c r="R253" t="s">
        <v>668</v>
      </c>
    </row>
    <row r="254" spans="1:18">
      <c r="A254">
        <v>254</v>
      </c>
      <c r="B254" t="s">
        <v>18</v>
      </c>
      <c r="C254">
        <v>90</v>
      </c>
      <c r="D254">
        <v>124</v>
      </c>
      <c r="E254">
        <v>3.3</v>
      </c>
      <c r="F254" t="s">
        <v>669</v>
      </c>
      <c r="G254" t="s">
        <v>20</v>
      </c>
      <c r="H254" t="s">
        <v>21</v>
      </c>
      <c r="I254" t="s">
        <v>20</v>
      </c>
      <c r="J254" t="s">
        <v>22</v>
      </c>
      <c r="K254" t="s">
        <v>106</v>
      </c>
      <c r="L254">
        <v>500</v>
      </c>
      <c r="M254">
        <v>2007</v>
      </c>
      <c r="N254" t="s">
        <v>31</v>
      </c>
      <c r="O254" t="s">
        <v>670</v>
      </c>
      <c r="P254" t="s">
        <v>402</v>
      </c>
      <c r="Q254" t="s">
        <v>198</v>
      </c>
      <c r="R254" t="s">
        <v>39</v>
      </c>
    </row>
    <row r="255" spans="1:18">
      <c r="A255">
        <v>255</v>
      </c>
      <c r="B255" t="s">
        <v>18</v>
      </c>
      <c r="C255">
        <v>90</v>
      </c>
      <c r="D255">
        <v>124</v>
      </c>
      <c r="E255">
        <v>3.9</v>
      </c>
      <c r="F255" t="s">
        <v>671</v>
      </c>
      <c r="G255" t="s">
        <v>129</v>
      </c>
      <c r="H255" t="s">
        <v>120</v>
      </c>
      <c r="I255" t="s">
        <v>121</v>
      </c>
      <c r="J255" t="s">
        <v>672</v>
      </c>
      <c r="K255" t="s">
        <v>106</v>
      </c>
      <c r="L255">
        <v>500</v>
      </c>
      <c r="M255">
        <v>2009</v>
      </c>
      <c r="N255" t="s">
        <v>31</v>
      </c>
      <c r="O255" t="s">
        <v>98</v>
      </c>
      <c r="P255" t="s">
        <v>38</v>
      </c>
      <c r="Q255" t="s">
        <v>27</v>
      </c>
      <c r="R255" t="s">
        <v>39</v>
      </c>
    </row>
    <row r="256" spans="1:18">
      <c r="A256">
        <v>256</v>
      </c>
      <c r="B256" t="s">
        <v>112</v>
      </c>
      <c r="C256">
        <v>90</v>
      </c>
      <c r="D256">
        <v>124</v>
      </c>
      <c r="E256">
        <v>3.1</v>
      </c>
      <c r="F256" t="s">
        <v>673</v>
      </c>
      <c r="G256" t="s">
        <v>674</v>
      </c>
      <c r="H256" t="s">
        <v>71</v>
      </c>
      <c r="I256" t="s">
        <v>72</v>
      </c>
      <c r="J256" t="s">
        <v>675</v>
      </c>
      <c r="K256" t="s">
        <v>85</v>
      </c>
      <c r="M256">
        <v>1929</v>
      </c>
      <c r="N256" t="s">
        <v>24</v>
      </c>
      <c r="O256" t="s">
        <v>51</v>
      </c>
      <c r="P256" t="s">
        <v>33</v>
      </c>
      <c r="Q256" t="s">
        <v>217</v>
      </c>
      <c r="R256" t="s">
        <v>39</v>
      </c>
    </row>
    <row r="257" spans="1:18">
      <c r="A257">
        <v>257</v>
      </c>
      <c r="B257" t="s">
        <v>112</v>
      </c>
      <c r="C257">
        <v>90</v>
      </c>
      <c r="D257">
        <v>124</v>
      </c>
      <c r="E257">
        <v>4.2</v>
      </c>
      <c r="F257" t="s">
        <v>541</v>
      </c>
      <c r="G257" t="s">
        <v>54</v>
      </c>
      <c r="H257" t="s">
        <v>46</v>
      </c>
      <c r="I257" t="s">
        <v>47</v>
      </c>
      <c r="J257" t="s">
        <v>48</v>
      </c>
      <c r="K257" t="s">
        <v>106</v>
      </c>
      <c r="L257">
        <v>500</v>
      </c>
      <c r="M257">
        <v>2010</v>
      </c>
      <c r="N257" t="s">
        <v>31</v>
      </c>
      <c r="O257" t="s">
        <v>98</v>
      </c>
      <c r="P257" t="s">
        <v>38</v>
      </c>
      <c r="Q257" t="s">
        <v>198</v>
      </c>
      <c r="R257" t="s">
        <v>542</v>
      </c>
    </row>
    <row r="258" spans="1:18">
      <c r="A258">
        <v>258</v>
      </c>
      <c r="B258" t="s">
        <v>18</v>
      </c>
      <c r="C258">
        <v>90</v>
      </c>
      <c r="D258">
        <v>124</v>
      </c>
      <c r="E258">
        <v>5</v>
      </c>
      <c r="F258" t="s">
        <v>676</v>
      </c>
      <c r="G258" t="s">
        <v>20</v>
      </c>
      <c r="H258" t="s">
        <v>21</v>
      </c>
      <c r="I258" t="s">
        <v>20</v>
      </c>
      <c r="J258" t="s">
        <v>677</v>
      </c>
      <c r="K258" t="s">
        <v>546</v>
      </c>
      <c r="M258">
        <v>-1</v>
      </c>
      <c r="N258" t="s">
        <v>546</v>
      </c>
      <c r="O258" t="s">
        <v>39</v>
      </c>
      <c r="P258">
        <v>-1</v>
      </c>
      <c r="Q258" t="s">
        <v>27</v>
      </c>
      <c r="R258" t="s">
        <v>39</v>
      </c>
    </row>
    <row r="259" spans="1:18">
      <c r="A259">
        <v>259</v>
      </c>
      <c r="B259" t="s">
        <v>195</v>
      </c>
      <c r="C259">
        <v>90</v>
      </c>
      <c r="D259">
        <v>124</v>
      </c>
      <c r="E259">
        <v>2.9</v>
      </c>
      <c r="F259" t="s">
        <v>29</v>
      </c>
      <c r="G259" t="s">
        <v>678</v>
      </c>
      <c r="H259" t="s">
        <v>120</v>
      </c>
      <c r="I259" t="s">
        <v>121</v>
      </c>
      <c r="J259" t="s">
        <v>22</v>
      </c>
      <c r="K259" t="s">
        <v>30</v>
      </c>
      <c r="L259">
        <v>200</v>
      </c>
      <c r="M259">
        <v>1998</v>
      </c>
      <c r="N259" t="s">
        <v>31</v>
      </c>
      <c r="O259" t="s">
        <v>32</v>
      </c>
      <c r="P259" t="s">
        <v>33</v>
      </c>
      <c r="Q259" t="s">
        <v>27</v>
      </c>
      <c r="R259" t="s">
        <v>34</v>
      </c>
    </row>
    <row r="260" spans="1:18">
      <c r="A260">
        <v>260</v>
      </c>
      <c r="B260" t="s">
        <v>103</v>
      </c>
      <c r="C260">
        <v>90</v>
      </c>
      <c r="D260">
        <v>124</v>
      </c>
      <c r="E260">
        <v>4.7</v>
      </c>
      <c r="F260" t="s">
        <v>548</v>
      </c>
      <c r="G260" t="s">
        <v>129</v>
      </c>
      <c r="H260" t="s">
        <v>120</v>
      </c>
      <c r="I260" t="s">
        <v>121</v>
      </c>
      <c r="J260" t="s">
        <v>549</v>
      </c>
      <c r="K260" t="s">
        <v>56</v>
      </c>
      <c r="L260">
        <v>1000</v>
      </c>
      <c r="M260">
        <v>1999</v>
      </c>
      <c r="N260" t="s">
        <v>284</v>
      </c>
      <c r="O260" t="s">
        <v>37</v>
      </c>
      <c r="P260" t="s">
        <v>38</v>
      </c>
      <c r="Q260" t="s">
        <v>27</v>
      </c>
      <c r="R260" t="s">
        <v>39</v>
      </c>
    </row>
    <row r="261" spans="1:18">
      <c r="A261">
        <v>261</v>
      </c>
      <c r="B261" t="s">
        <v>18</v>
      </c>
      <c r="C261">
        <v>90</v>
      </c>
      <c r="D261">
        <v>124</v>
      </c>
      <c r="E261">
        <v>3.6</v>
      </c>
      <c r="F261" t="s">
        <v>543</v>
      </c>
      <c r="G261" t="s">
        <v>544</v>
      </c>
      <c r="H261" t="s">
        <v>71</v>
      </c>
      <c r="I261" t="s">
        <v>72</v>
      </c>
      <c r="J261" t="s">
        <v>545</v>
      </c>
      <c r="K261" t="s">
        <v>546</v>
      </c>
      <c r="M261">
        <v>1995</v>
      </c>
      <c r="N261" t="s">
        <v>284</v>
      </c>
      <c r="O261" t="s">
        <v>32</v>
      </c>
      <c r="P261" t="s">
        <v>33</v>
      </c>
      <c r="Q261" t="s">
        <v>27</v>
      </c>
      <c r="R261" t="s">
        <v>547</v>
      </c>
    </row>
    <row r="262" spans="1:18">
      <c r="A262">
        <v>262</v>
      </c>
      <c r="B262" t="s">
        <v>18</v>
      </c>
      <c r="C262">
        <v>91</v>
      </c>
      <c r="D262">
        <v>150</v>
      </c>
      <c r="E262">
        <v>3.8</v>
      </c>
      <c r="F262" t="s">
        <v>93</v>
      </c>
      <c r="G262" t="s">
        <v>94</v>
      </c>
      <c r="H262" t="s">
        <v>71</v>
      </c>
      <c r="I262" t="s">
        <v>72</v>
      </c>
      <c r="J262" t="s">
        <v>95</v>
      </c>
      <c r="K262" t="s">
        <v>23</v>
      </c>
      <c r="L262">
        <v>5000</v>
      </c>
      <c r="M262">
        <v>1951</v>
      </c>
      <c r="N262" t="s">
        <v>24</v>
      </c>
      <c r="O262" t="s">
        <v>96</v>
      </c>
      <c r="P262" t="s">
        <v>96</v>
      </c>
      <c r="Q262" t="s">
        <v>27</v>
      </c>
      <c r="R262" t="s">
        <v>39</v>
      </c>
    </row>
    <row r="263" spans="1:18">
      <c r="A263">
        <v>263</v>
      </c>
      <c r="B263" t="s">
        <v>18</v>
      </c>
      <c r="C263">
        <v>91</v>
      </c>
      <c r="D263">
        <v>150</v>
      </c>
      <c r="E263">
        <v>3.3</v>
      </c>
      <c r="F263" t="s">
        <v>185</v>
      </c>
      <c r="G263" t="s">
        <v>186</v>
      </c>
      <c r="H263" t="s">
        <v>179</v>
      </c>
      <c r="I263" t="s">
        <v>145</v>
      </c>
      <c r="J263" t="s">
        <v>187</v>
      </c>
      <c r="K263" t="s">
        <v>23</v>
      </c>
      <c r="L263">
        <v>5000</v>
      </c>
      <c r="M263">
        <v>1999</v>
      </c>
      <c r="N263" t="s">
        <v>31</v>
      </c>
      <c r="O263" t="s">
        <v>188</v>
      </c>
      <c r="P263" t="s">
        <v>182</v>
      </c>
      <c r="Q263" t="s">
        <v>126</v>
      </c>
      <c r="R263" t="s">
        <v>39</v>
      </c>
    </row>
    <row r="264" spans="1:18">
      <c r="A264">
        <v>264</v>
      </c>
      <c r="B264" t="s">
        <v>18</v>
      </c>
      <c r="C264">
        <v>91</v>
      </c>
      <c r="D264">
        <v>150</v>
      </c>
      <c r="E264">
        <v>3.7</v>
      </c>
      <c r="F264" t="s">
        <v>679</v>
      </c>
      <c r="G264" t="s">
        <v>178</v>
      </c>
      <c r="H264" t="s">
        <v>179</v>
      </c>
      <c r="I264" t="s">
        <v>145</v>
      </c>
      <c r="J264" t="s">
        <v>180</v>
      </c>
      <c r="K264" t="s">
        <v>23</v>
      </c>
      <c r="L264">
        <v>5000</v>
      </c>
      <c r="M264">
        <v>1965</v>
      </c>
      <c r="N264" t="s">
        <v>63</v>
      </c>
      <c r="O264" t="s">
        <v>181</v>
      </c>
      <c r="P264" t="s">
        <v>182</v>
      </c>
      <c r="Q264" t="s">
        <v>183</v>
      </c>
      <c r="R264" t="s">
        <v>184</v>
      </c>
    </row>
    <row r="265" spans="1:18">
      <c r="A265">
        <v>265</v>
      </c>
      <c r="B265" t="s">
        <v>112</v>
      </c>
      <c r="C265">
        <v>91</v>
      </c>
      <c r="D265">
        <v>150</v>
      </c>
      <c r="E265">
        <v>3.8</v>
      </c>
      <c r="F265" t="s">
        <v>69</v>
      </c>
      <c r="G265" t="s">
        <v>70</v>
      </c>
      <c r="H265" t="s">
        <v>71</v>
      </c>
      <c r="I265" t="s">
        <v>72</v>
      </c>
      <c r="J265" t="s">
        <v>73</v>
      </c>
      <c r="K265" t="s">
        <v>23</v>
      </c>
      <c r="L265">
        <v>5000</v>
      </c>
      <c r="M265">
        <v>1981</v>
      </c>
      <c r="N265" t="s">
        <v>74</v>
      </c>
      <c r="O265" t="s">
        <v>75</v>
      </c>
      <c r="P265" t="s">
        <v>33</v>
      </c>
      <c r="Q265" t="s">
        <v>42</v>
      </c>
      <c r="R265" t="s">
        <v>39</v>
      </c>
    </row>
    <row r="266" spans="1:18">
      <c r="A266">
        <v>266</v>
      </c>
      <c r="B266" t="s">
        <v>18</v>
      </c>
      <c r="C266">
        <v>91</v>
      </c>
      <c r="D266">
        <v>150</v>
      </c>
      <c r="E266">
        <v>3.2</v>
      </c>
      <c r="F266" t="s">
        <v>680</v>
      </c>
      <c r="G266" t="s">
        <v>474</v>
      </c>
      <c r="H266" t="s">
        <v>331</v>
      </c>
      <c r="I266" t="s">
        <v>332</v>
      </c>
      <c r="J266" t="s">
        <v>336</v>
      </c>
      <c r="K266" t="s">
        <v>23</v>
      </c>
      <c r="L266">
        <v>5000</v>
      </c>
      <c r="M266">
        <v>1820</v>
      </c>
      <c r="N266" t="s">
        <v>24</v>
      </c>
      <c r="O266" t="s">
        <v>86</v>
      </c>
      <c r="P266" t="s">
        <v>86</v>
      </c>
      <c r="Q266" t="s">
        <v>42</v>
      </c>
      <c r="R266" t="s">
        <v>39</v>
      </c>
    </row>
    <row r="267" spans="1:18">
      <c r="A267">
        <v>267</v>
      </c>
      <c r="B267" t="s">
        <v>18</v>
      </c>
      <c r="C267">
        <v>91</v>
      </c>
      <c r="D267">
        <v>150</v>
      </c>
      <c r="E267">
        <v>4.5999999999999996</v>
      </c>
      <c r="F267" t="s">
        <v>681</v>
      </c>
      <c r="G267" t="s">
        <v>682</v>
      </c>
      <c r="H267" t="s">
        <v>244</v>
      </c>
      <c r="I267" t="s">
        <v>245</v>
      </c>
      <c r="J267" t="s">
        <v>683</v>
      </c>
      <c r="K267" t="s">
        <v>106</v>
      </c>
      <c r="L267">
        <v>500</v>
      </c>
      <c r="M267">
        <v>2010</v>
      </c>
      <c r="N267" t="s">
        <v>31</v>
      </c>
      <c r="O267" t="s">
        <v>98</v>
      </c>
      <c r="P267" t="s">
        <v>38</v>
      </c>
      <c r="Q267" t="s">
        <v>140</v>
      </c>
      <c r="R267" t="s">
        <v>39</v>
      </c>
    </row>
    <row r="268" spans="1:18">
      <c r="A268">
        <v>268</v>
      </c>
      <c r="B268" t="s">
        <v>18</v>
      </c>
      <c r="C268">
        <v>91</v>
      </c>
      <c r="D268">
        <v>150</v>
      </c>
      <c r="E268">
        <v>3.5</v>
      </c>
      <c r="F268" t="s">
        <v>684</v>
      </c>
      <c r="G268" t="s">
        <v>678</v>
      </c>
      <c r="H268" t="s">
        <v>120</v>
      </c>
      <c r="I268" t="s">
        <v>121</v>
      </c>
      <c r="J268" t="s">
        <v>549</v>
      </c>
      <c r="K268" t="s">
        <v>85</v>
      </c>
      <c r="M268">
        <v>1995</v>
      </c>
      <c r="N268" t="s">
        <v>50</v>
      </c>
      <c r="O268" t="s">
        <v>41</v>
      </c>
      <c r="P268" t="s">
        <v>38</v>
      </c>
      <c r="Q268" t="s">
        <v>87</v>
      </c>
      <c r="R268" t="s">
        <v>685</v>
      </c>
    </row>
    <row r="269" spans="1:18">
      <c r="A269">
        <v>269</v>
      </c>
      <c r="B269" t="s">
        <v>195</v>
      </c>
      <c r="C269">
        <v>91</v>
      </c>
      <c r="D269">
        <v>150</v>
      </c>
      <c r="E269">
        <v>5</v>
      </c>
      <c r="F269" t="s">
        <v>686</v>
      </c>
      <c r="G269" t="s">
        <v>20</v>
      </c>
      <c r="H269" t="s">
        <v>21</v>
      </c>
      <c r="I269" t="s">
        <v>20</v>
      </c>
      <c r="J269" t="s">
        <v>22</v>
      </c>
      <c r="K269" t="s">
        <v>67</v>
      </c>
      <c r="L269">
        <v>50</v>
      </c>
      <c r="M269">
        <v>2018</v>
      </c>
      <c r="N269" t="s">
        <v>31</v>
      </c>
      <c r="O269" t="s">
        <v>57</v>
      </c>
      <c r="P269" t="s">
        <v>38</v>
      </c>
      <c r="Q269" t="s">
        <v>27</v>
      </c>
      <c r="R269" t="s">
        <v>39</v>
      </c>
    </row>
    <row r="270" spans="1:18">
      <c r="A270">
        <v>270</v>
      </c>
      <c r="B270" t="s">
        <v>195</v>
      </c>
      <c r="C270">
        <v>91</v>
      </c>
      <c r="D270">
        <v>150</v>
      </c>
      <c r="E270">
        <v>4.0999999999999996</v>
      </c>
      <c r="F270" t="s">
        <v>550</v>
      </c>
      <c r="G270" t="s">
        <v>292</v>
      </c>
      <c r="H270" t="s">
        <v>120</v>
      </c>
      <c r="I270" t="s">
        <v>121</v>
      </c>
      <c r="J270" t="s">
        <v>125</v>
      </c>
      <c r="K270" t="s">
        <v>30</v>
      </c>
      <c r="L270">
        <v>200</v>
      </c>
      <c r="M270">
        <v>2011</v>
      </c>
      <c r="N270" t="s">
        <v>31</v>
      </c>
      <c r="O270" t="s">
        <v>98</v>
      </c>
      <c r="P270" t="s">
        <v>38</v>
      </c>
      <c r="Q270" t="s">
        <v>27</v>
      </c>
      <c r="R270" t="s">
        <v>39</v>
      </c>
    </row>
    <row r="271" spans="1:18">
      <c r="A271">
        <v>271</v>
      </c>
      <c r="B271" t="s">
        <v>112</v>
      </c>
      <c r="C271">
        <v>91</v>
      </c>
      <c r="D271">
        <v>150</v>
      </c>
      <c r="E271">
        <v>4.0999999999999996</v>
      </c>
      <c r="F271" t="s">
        <v>687</v>
      </c>
      <c r="G271" t="s">
        <v>688</v>
      </c>
      <c r="H271" t="s">
        <v>71</v>
      </c>
      <c r="I271" t="s">
        <v>72</v>
      </c>
      <c r="J271" t="s">
        <v>689</v>
      </c>
      <c r="K271" t="s">
        <v>23</v>
      </c>
      <c r="L271">
        <v>5000</v>
      </c>
      <c r="M271">
        <v>1981</v>
      </c>
      <c r="N271" t="s">
        <v>50</v>
      </c>
      <c r="O271" t="s">
        <v>86</v>
      </c>
      <c r="P271" t="s">
        <v>86</v>
      </c>
      <c r="Q271" t="s">
        <v>42</v>
      </c>
      <c r="R271" t="s">
        <v>690</v>
      </c>
    </row>
    <row r="272" spans="1:18">
      <c r="A272">
        <v>272</v>
      </c>
      <c r="B272" t="s">
        <v>18</v>
      </c>
      <c r="C272">
        <v>91</v>
      </c>
      <c r="D272">
        <v>150</v>
      </c>
      <c r="E272">
        <v>3.5</v>
      </c>
      <c r="F272" t="s">
        <v>691</v>
      </c>
      <c r="G272" t="s">
        <v>20</v>
      </c>
      <c r="H272" t="s">
        <v>21</v>
      </c>
      <c r="I272" t="s">
        <v>20</v>
      </c>
      <c r="J272" t="s">
        <v>692</v>
      </c>
      <c r="K272" t="s">
        <v>85</v>
      </c>
      <c r="M272">
        <v>1963</v>
      </c>
      <c r="N272" t="s">
        <v>50</v>
      </c>
      <c r="O272" t="s">
        <v>39</v>
      </c>
      <c r="P272">
        <v>-1</v>
      </c>
      <c r="Q272" t="s">
        <v>87</v>
      </c>
      <c r="R272" t="s">
        <v>693</v>
      </c>
    </row>
    <row r="273" spans="1:18">
      <c r="A273">
        <v>273</v>
      </c>
      <c r="B273" t="s">
        <v>18</v>
      </c>
      <c r="C273">
        <v>91</v>
      </c>
      <c r="D273">
        <v>150</v>
      </c>
      <c r="E273">
        <v>3.2</v>
      </c>
      <c r="F273" t="s">
        <v>694</v>
      </c>
      <c r="G273" t="s">
        <v>695</v>
      </c>
      <c r="H273" t="s">
        <v>46</v>
      </c>
      <c r="I273" t="s">
        <v>47</v>
      </c>
      <c r="J273" t="s">
        <v>496</v>
      </c>
      <c r="K273" t="s">
        <v>30</v>
      </c>
      <c r="L273">
        <v>200</v>
      </c>
      <c r="M273">
        <v>2011</v>
      </c>
      <c r="N273" t="s">
        <v>31</v>
      </c>
      <c r="O273" t="s">
        <v>98</v>
      </c>
      <c r="P273" t="s">
        <v>38</v>
      </c>
      <c r="Q273" t="s">
        <v>140</v>
      </c>
      <c r="R273" t="s">
        <v>39</v>
      </c>
    </row>
    <row r="274" spans="1:18">
      <c r="A274">
        <v>274</v>
      </c>
      <c r="B274" t="s">
        <v>18</v>
      </c>
      <c r="C274">
        <v>91</v>
      </c>
      <c r="D274">
        <v>150</v>
      </c>
      <c r="E274">
        <v>5</v>
      </c>
      <c r="F274" t="s">
        <v>551</v>
      </c>
      <c r="G274" t="s">
        <v>129</v>
      </c>
      <c r="H274" t="s">
        <v>120</v>
      </c>
      <c r="I274" t="s">
        <v>121</v>
      </c>
      <c r="J274" t="s">
        <v>552</v>
      </c>
      <c r="K274" t="s">
        <v>546</v>
      </c>
      <c r="M274">
        <v>-1</v>
      </c>
      <c r="N274" t="s">
        <v>50</v>
      </c>
      <c r="O274" t="s">
        <v>39</v>
      </c>
      <c r="P274">
        <v>-1</v>
      </c>
      <c r="Q274" t="s">
        <v>27</v>
      </c>
      <c r="R274" t="s">
        <v>39</v>
      </c>
    </row>
    <row r="275" spans="1:18">
      <c r="A275">
        <v>275</v>
      </c>
      <c r="B275" t="s">
        <v>18</v>
      </c>
      <c r="C275">
        <v>91</v>
      </c>
      <c r="D275">
        <v>150</v>
      </c>
      <c r="E275">
        <v>4.7</v>
      </c>
      <c r="F275" t="s">
        <v>696</v>
      </c>
      <c r="G275" t="s">
        <v>697</v>
      </c>
      <c r="H275" t="s">
        <v>120</v>
      </c>
      <c r="I275" t="s">
        <v>121</v>
      </c>
      <c r="J275" t="s">
        <v>698</v>
      </c>
      <c r="K275" t="s">
        <v>23</v>
      </c>
      <c r="L275">
        <v>5000</v>
      </c>
      <c r="M275">
        <v>1952</v>
      </c>
      <c r="N275" t="s">
        <v>63</v>
      </c>
      <c r="O275" t="s">
        <v>62</v>
      </c>
      <c r="P275" t="s">
        <v>63</v>
      </c>
      <c r="Q275" t="s">
        <v>52</v>
      </c>
      <c r="R275" t="s">
        <v>699</v>
      </c>
    </row>
    <row r="276" spans="1:18">
      <c r="A276">
        <v>276</v>
      </c>
      <c r="B276" t="s">
        <v>99</v>
      </c>
      <c r="C276">
        <v>91</v>
      </c>
      <c r="D276">
        <v>150</v>
      </c>
      <c r="E276">
        <v>3.8</v>
      </c>
      <c r="F276" t="s">
        <v>700</v>
      </c>
      <c r="G276" t="s">
        <v>701</v>
      </c>
      <c r="H276" t="s">
        <v>221</v>
      </c>
      <c r="I276" t="s">
        <v>222</v>
      </c>
      <c r="J276" t="s">
        <v>702</v>
      </c>
      <c r="K276" t="s">
        <v>106</v>
      </c>
      <c r="L276">
        <v>500</v>
      </c>
      <c r="M276">
        <v>1932</v>
      </c>
      <c r="N276" t="s">
        <v>31</v>
      </c>
      <c r="O276" t="s">
        <v>365</v>
      </c>
      <c r="P276" t="s">
        <v>102</v>
      </c>
      <c r="Q276" t="s">
        <v>52</v>
      </c>
      <c r="R276" t="s">
        <v>39</v>
      </c>
    </row>
    <row r="277" spans="1:18">
      <c r="A277">
        <v>277</v>
      </c>
      <c r="B277" t="s">
        <v>18</v>
      </c>
      <c r="C277">
        <v>91</v>
      </c>
      <c r="D277">
        <v>150</v>
      </c>
      <c r="E277">
        <v>3.6</v>
      </c>
      <c r="F277" t="s">
        <v>703</v>
      </c>
      <c r="G277" t="s">
        <v>54</v>
      </c>
      <c r="H277" t="s">
        <v>46</v>
      </c>
      <c r="I277" t="s">
        <v>47</v>
      </c>
      <c r="J277" t="s">
        <v>704</v>
      </c>
      <c r="K277" t="s">
        <v>85</v>
      </c>
      <c r="M277">
        <v>1947</v>
      </c>
      <c r="N277" t="s">
        <v>50</v>
      </c>
      <c r="O277" t="s">
        <v>705</v>
      </c>
      <c r="P277" t="s">
        <v>33</v>
      </c>
      <c r="Q277" t="s">
        <v>87</v>
      </c>
      <c r="R277" t="s">
        <v>706</v>
      </c>
    </row>
    <row r="278" spans="1:18">
      <c r="A278">
        <v>278</v>
      </c>
      <c r="B278" t="s">
        <v>18</v>
      </c>
      <c r="C278">
        <v>91</v>
      </c>
      <c r="D278">
        <v>150</v>
      </c>
      <c r="E278">
        <v>4.8</v>
      </c>
      <c r="F278" t="s">
        <v>105</v>
      </c>
      <c r="G278" t="s">
        <v>70</v>
      </c>
      <c r="H278" t="s">
        <v>71</v>
      </c>
      <c r="I278" t="s">
        <v>72</v>
      </c>
      <c r="J278" t="s">
        <v>73</v>
      </c>
      <c r="K278" t="s">
        <v>106</v>
      </c>
      <c r="L278">
        <v>500</v>
      </c>
      <c r="M278">
        <v>2012</v>
      </c>
      <c r="N278" t="s">
        <v>31</v>
      </c>
      <c r="O278" t="s">
        <v>37</v>
      </c>
      <c r="P278" t="s">
        <v>38</v>
      </c>
      <c r="Q278" t="s">
        <v>27</v>
      </c>
      <c r="R278" t="s">
        <v>39</v>
      </c>
    </row>
    <row r="279" spans="1:18">
      <c r="A279">
        <v>279</v>
      </c>
      <c r="B279" t="s">
        <v>18</v>
      </c>
      <c r="C279">
        <v>91</v>
      </c>
      <c r="D279">
        <v>150</v>
      </c>
      <c r="E279">
        <v>3.3</v>
      </c>
      <c r="F279" t="s">
        <v>707</v>
      </c>
      <c r="G279" t="s">
        <v>157</v>
      </c>
      <c r="H279" t="s">
        <v>153</v>
      </c>
      <c r="I279" t="s">
        <v>154</v>
      </c>
      <c r="J279" t="s">
        <v>158</v>
      </c>
      <c r="K279" t="s">
        <v>85</v>
      </c>
      <c r="M279">
        <v>1894</v>
      </c>
      <c r="N279" t="s">
        <v>31</v>
      </c>
      <c r="O279" t="s">
        <v>75</v>
      </c>
      <c r="P279" t="s">
        <v>33</v>
      </c>
      <c r="Q279" t="s">
        <v>126</v>
      </c>
      <c r="R279" t="s">
        <v>708</v>
      </c>
    </row>
    <row r="280" spans="1:18">
      <c r="A280">
        <v>280</v>
      </c>
      <c r="B280" t="s">
        <v>18</v>
      </c>
      <c r="C280">
        <v>91</v>
      </c>
      <c r="D280">
        <v>150</v>
      </c>
      <c r="E280">
        <v>3.7</v>
      </c>
      <c r="F280" t="s">
        <v>709</v>
      </c>
      <c r="G280" t="s">
        <v>710</v>
      </c>
      <c r="H280" t="s">
        <v>120</v>
      </c>
      <c r="I280" t="s">
        <v>121</v>
      </c>
      <c r="J280" t="s">
        <v>711</v>
      </c>
      <c r="K280" t="s">
        <v>23</v>
      </c>
      <c r="L280">
        <v>5000</v>
      </c>
      <c r="M280">
        <v>2005</v>
      </c>
      <c r="N280" t="s">
        <v>50</v>
      </c>
      <c r="O280" t="s">
        <v>500</v>
      </c>
      <c r="P280" t="s">
        <v>500</v>
      </c>
      <c r="Q280" t="s">
        <v>42</v>
      </c>
      <c r="R280" t="s">
        <v>39</v>
      </c>
    </row>
    <row r="281" spans="1:18">
      <c r="A281">
        <v>281</v>
      </c>
      <c r="B281" t="s">
        <v>18</v>
      </c>
      <c r="C281">
        <v>91</v>
      </c>
      <c r="D281">
        <v>150</v>
      </c>
      <c r="E281">
        <v>5</v>
      </c>
      <c r="F281" t="s">
        <v>712</v>
      </c>
      <c r="G281" t="s">
        <v>710</v>
      </c>
      <c r="H281" t="s">
        <v>120</v>
      </c>
      <c r="I281" t="s">
        <v>121</v>
      </c>
      <c r="J281" t="s">
        <v>713</v>
      </c>
      <c r="K281" t="s">
        <v>30</v>
      </c>
      <c r="L281">
        <v>200</v>
      </c>
      <c r="M281">
        <v>2018</v>
      </c>
      <c r="N281" t="s">
        <v>31</v>
      </c>
      <c r="O281" t="s">
        <v>270</v>
      </c>
      <c r="P281" t="s">
        <v>33</v>
      </c>
      <c r="Q281" t="s">
        <v>64</v>
      </c>
      <c r="R281" t="s">
        <v>39</v>
      </c>
    </row>
    <row r="282" spans="1:18">
      <c r="A282">
        <v>282</v>
      </c>
      <c r="B282" t="s">
        <v>18</v>
      </c>
      <c r="C282">
        <v>91</v>
      </c>
      <c r="D282">
        <v>150</v>
      </c>
      <c r="E282">
        <v>-1</v>
      </c>
      <c r="F282" t="s">
        <v>714</v>
      </c>
      <c r="G282" t="s">
        <v>129</v>
      </c>
      <c r="H282" t="s">
        <v>120</v>
      </c>
      <c r="I282" t="s">
        <v>121</v>
      </c>
      <c r="J282" t="s">
        <v>715</v>
      </c>
      <c r="K282" t="s">
        <v>546</v>
      </c>
      <c r="M282">
        <v>-1</v>
      </c>
      <c r="N282" t="s">
        <v>31</v>
      </c>
      <c r="O282" t="s">
        <v>39</v>
      </c>
      <c r="P282">
        <v>-1</v>
      </c>
      <c r="Q282" t="s">
        <v>27</v>
      </c>
      <c r="R282" t="s">
        <v>39</v>
      </c>
    </row>
    <row r="283" spans="1:18">
      <c r="A283">
        <v>283</v>
      </c>
      <c r="B283" t="s">
        <v>18</v>
      </c>
      <c r="C283">
        <v>141</v>
      </c>
      <c r="D283">
        <v>225</v>
      </c>
      <c r="E283">
        <v>3.4</v>
      </c>
      <c r="F283" t="s">
        <v>130</v>
      </c>
      <c r="G283" t="s">
        <v>131</v>
      </c>
      <c r="H283" t="s">
        <v>120</v>
      </c>
      <c r="I283" t="s">
        <v>121</v>
      </c>
      <c r="J283" t="s">
        <v>132</v>
      </c>
      <c r="K283" t="s">
        <v>56</v>
      </c>
      <c r="L283">
        <v>1000</v>
      </c>
      <c r="M283">
        <v>1966</v>
      </c>
      <c r="N283" t="s">
        <v>31</v>
      </c>
      <c r="O283" t="s">
        <v>41</v>
      </c>
      <c r="P283" t="s">
        <v>38</v>
      </c>
      <c r="Q283" t="s">
        <v>42</v>
      </c>
      <c r="R283" t="s">
        <v>133</v>
      </c>
    </row>
    <row r="284" spans="1:18">
      <c r="A284">
        <v>284</v>
      </c>
      <c r="B284" t="s">
        <v>18</v>
      </c>
      <c r="C284">
        <v>141</v>
      </c>
      <c r="D284">
        <v>225</v>
      </c>
      <c r="E284">
        <v>5</v>
      </c>
      <c r="F284" t="s">
        <v>97</v>
      </c>
      <c r="G284" t="s">
        <v>70</v>
      </c>
      <c r="H284" t="s">
        <v>71</v>
      </c>
      <c r="I284" t="s">
        <v>72</v>
      </c>
      <c r="J284" t="s">
        <v>73</v>
      </c>
      <c r="K284" t="s">
        <v>67</v>
      </c>
      <c r="L284">
        <v>50</v>
      </c>
      <c r="M284">
        <v>2019</v>
      </c>
      <c r="N284" t="s">
        <v>31</v>
      </c>
      <c r="O284" t="s">
        <v>98</v>
      </c>
      <c r="P284" t="s">
        <v>38</v>
      </c>
      <c r="Q284" t="s">
        <v>27</v>
      </c>
      <c r="R284" t="s">
        <v>39</v>
      </c>
    </row>
    <row r="285" spans="1:18">
      <c r="A285">
        <v>285</v>
      </c>
      <c r="B285" t="s">
        <v>18</v>
      </c>
      <c r="C285">
        <v>141</v>
      </c>
      <c r="D285">
        <v>225</v>
      </c>
      <c r="E285">
        <v>-1</v>
      </c>
      <c r="F285" t="s">
        <v>714</v>
      </c>
      <c r="G285" t="s">
        <v>129</v>
      </c>
      <c r="H285" t="s">
        <v>120</v>
      </c>
      <c r="I285" t="s">
        <v>121</v>
      </c>
      <c r="J285" t="s">
        <v>715</v>
      </c>
      <c r="K285" t="s">
        <v>546</v>
      </c>
      <c r="M285">
        <v>-1</v>
      </c>
      <c r="N285" t="s">
        <v>31</v>
      </c>
      <c r="O285" t="s">
        <v>39</v>
      </c>
      <c r="P285">
        <v>-1</v>
      </c>
      <c r="Q285" t="s">
        <v>27</v>
      </c>
      <c r="R285" t="s">
        <v>39</v>
      </c>
    </row>
    <row r="286" spans="1:18">
      <c r="A286">
        <v>286</v>
      </c>
      <c r="B286" t="s">
        <v>18</v>
      </c>
      <c r="C286">
        <v>141</v>
      </c>
      <c r="D286">
        <v>225</v>
      </c>
      <c r="E286">
        <v>4</v>
      </c>
      <c r="F286" t="s">
        <v>329</v>
      </c>
      <c r="G286" t="s">
        <v>20</v>
      </c>
      <c r="H286" t="s">
        <v>21</v>
      </c>
      <c r="I286" t="s">
        <v>20</v>
      </c>
      <c r="J286" t="s">
        <v>333</v>
      </c>
      <c r="K286" t="s">
        <v>85</v>
      </c>
      <c r="M286">
        <v>1913</v>
      </c>
      <c r="N286" t="s">
        <v>50</v>
      </c>
      <c r="O286" t="s">
        <v>86</v>
      </c>
      <c r="P286" t="s">
        <v>86</v>
      </c>
      <c r="Q286" t="s">
        <v>87</v>
      </c>
      <c r="R286" t="s">
        <v>334</v>
      </c>
    </row>
    <row r="287" spans="1:18">
      <c r="A287">
        <v>287</v>
      </c>
      <c r="B287" t="s">
        <v>18</v>
      </c>
      <c r="C287">
        <v>141</v>
      </c>
      <c r="D287">
        <v>225</v>
      </c>
      <c r="E287">
        <v>4.2</v>
      </c>
      <c r="F287" t="s">
        <v>716</v>
      </c>
      <c r="G287" t="s">
        <v>717</v>
      </c>
      <c r="H287" t="s">
        <v>226</v>
      </c>
      <c r="I287" t="s">
        <v>227</v>
      </c>
      <c r="J287" t="s">
        <v>718</v>
      </c>
      <c r="K287" t="s">
        <v>85</v>
      </c>
      <c r="M287">
        <v>1917</v>
      </c>
      <c r="N287" t="s">
        <v>50</v>
      </c>
      <c r="O287" t="s">
        <v>615</v>
      </c>
      <c r="P287" t="s">
        <v>80</v>
      </c>
      <c r="Q287" t="s">
        <v>217</v>
      </c>
      <c r="R287" t="s">
        <v>719</v>
      </c>
    </row>
    <row r="288" spans="1:18">
      <c r="A288">
        <v>288</v>
      </c>
      <c r="B288" t="s">
        <v>18</v>
      </c>
      <c r="C288">
        <v>141</v>
      </c>
      <c r="D288">
        <v>225</v>
      </c>
      <c r="E288">
        <v>4.3</v>
      </c>
      <c r="F288" t="s">
        <v>553</v>
      </c>
      <c r="G288" t="s">
        <v>537</v>
      </c>
      <c r="H288" t="s">
        <v>120</v>
      </c>
      <c r="I288" t="s">
        <v>121</v>
      </c>
      <c r="J288" t="s">
        <v>354</v>
      </c>
      <c r="K288" t="s">
        <v>30</v>
      </c>
      <c r="L288">
        <v>200</v>
      </c>
      <c r="M288">
        <v>-1</v>
      </c>
      <c r="N288" t="s">
        <v>31</v>
      </c>
      <c r="O288" t="s">
        <v>39</v>
      </c>
      <c r="P288">
        <v>-1</v>
      </c>
      <c r="Q288" t="s">
        <v>27</v>
      </c>
      <c r="R288" t="s">
        <v>39</v>
      </c>
    </row>
    <row r="289" spans="1:18">
      <c r="A289">
        <v>289</v>
      </c>
      <c r="B289" t="s">
        <v>18</v>
      </c>
      <c r="C289">
        <v>141</v>
      </c>
      <c r="D289">
        <v>225</v>
      </c>
      <c r="E289">
        <v>3.4</v>
      </c>
      <c r="F289" t="s">
        <v>720</v>
      </c>
      <c r="G289" t="s">
        <v>721</v>
      </c>
      <c r="H289" t="s">
        <v>120</v>
      </c>
      <c r="I289" t="s">
        <v>121</v>
      </c>
      <c r="J289" t="s">
        <v>702</v>
      </c>
      <c r="K289" t="s">
        <v>30</v>
      </c>
      <c r="L289">
        <v>200</v>
      </c>
      <c r="M289">
        <v>1960</v>
      </c>
      <c r="N289" t="s">
        <v>31</v>
      </c>
      <c r="O289" t="s">
        <v>705</v>
      </c>
      <c r="P289" t="s">
        <v>33</v>
      </c>
      <c r="Q289" t="s">
        <v>140</v>
      </c>
      <c r="R289" t="s">
        <v>39</v>
      </c>
    </row>
    <row r="290" spans="1:18">
      <c r="A290">
        <v>290</v>
      </c>
      <c r="B290" t="s">
        <v>18</v>
      </c>
      <c r="C290">
        <v>141</v>
      </c>
      <c r="D290">
        <v>225</v>
      </c>
      <c r="E290">
        <v>-1</v>
      </c>
      <c r="F290" t="s">
        <v>722</v>
      </c>
      <c r="G290" t="s">
        <v>129</v>
      </c>
      <c r="H290" t="s">
        <v>120</v>
      </c>
      <c r="I290" t="s">
        <v>121</v>
      </c>
      <c r="J290" t="s">
        <v>723</v>
      </c>
      <c r="K290" t="s">
        <v>30</v>
      </c>
      <c r="L290">
        <v>200</v>
      </c>
      <c r="M290">
        <v>-1</v>
      </c>
      <c r="N290" t="s">
        <v>31</v>
      </c>
      <c r="O290" t="s">
        <v>39</v>
      </c>
      <c r="P290">
        <v>-1</v>
      </c>
      <c r="Q290" t="s">
        <v>27</v>
      </c>
      <c r="R290" t="s">
        <v>39</v>
      </c>
    </row>
    <row r="291" spans="1:18">
      <c r="A291">
        <v>291</v>
      </c>
      <c r="B291" t="s">
        <v>18</v>
      </c>
      <c r="C291">
        <v>141</v>
      </c>
      <c r="D291">
        <v>225</v>
      </c>
      <c r="E291">
        <v>4.4000000000000004</v>
      </c>
      <c r="F291" t="s">
        <v>724</v>
      </c>
      <c r="G291" t="s">
        <v>725</v>
      </c>
      <c r="H291" t="s">
        <v>214</v>
      </c>
      <c r="I291" t="s">
        <v>215</v>
      </c>
      <c r="J291" t="s">
        <v>715</v>
      </c>
      <c r="K291" t="s">
        <v>106</v>
      </c>
      <c r="L291">
        <v>500</v>
      </c>
      <c r="M291">
        <v>2006</v>
      </c>
      <c r="N291" t="s">
        <v>31</v>
      </c>
      <c r="O291" t="s">
        <v>270</v>
      </c>
      <c r="P291" t="s">
        <v>33</v>
      </c>
      <c r="Q291" t="s">
        <v>359</v>
      </c>
      <c r="R291" t="s">
        <v>39</v>
      </c>
    </row>
    <row r="292" spans="1:18">
      <c r="A292">
        <v>292</v>
      </c>
      <c r="B292" t="s">
        <v>18</v>
      </c>
      <c r="C292">
        <v>141</v>
      </c>
      <c r="D292">
        <v>225</v>
      </c>
      <c r="E292">
        <v>3.5</v>
      </c>
      <c r="F292" t="s">
        <v>485</v>
      </c>
      <c r="G292" t="s">
        <v>726</v>
      </c>
      <c r="H292" t="s">
        <v>46</v>
      </c>
      <c r="I292" t="s">
        <v>47</v>
      </c>
      <c r="J292" t="s">
        <v>368</v>
      </c>
      <c r="K292" t="s">
        <v>85</v>
      </c>
      <c r="M292">
        <v>1969</v>
      </c>
      <c r="N292" t="s">
        <v>50</v>
      </c>
      <c r="O292" t="s">
        <v>96</v>
      </c>
      <c r="P292" t="s">
        <v>96</v>
      </c>
      <c r="Q292" t="s">
        <v>87</v>
      </c>
      <c r="R292" t="s">
        <v>39</v>
      </c>
    </row>
    <row r="293" spans="1:18">
      <c r="A293">
        <v>293</v>
      </c>
      <c r="B293" t="s">
        <v>18</v>
      </c>
      <c r="C293">
        <v>141</v>
      </c>
      <c r="D293">
        <v>225</v>
      </c>
      <c r="E293">
        <v>3.7</v>
      </c>
      <c r="F293" t="s">
        <v>727</v>
      </c>
      <c r="G293" t="s">
        <v>129</v>
      </c>
      <c r="H293" t="s">
        <v>120</v>
      </c>
      <c r="I293" t="s">
        <v>121</v>
      </c>
      <c r="J293" t="s">
        <v>22</v>
      </c>
      <c r="K293" t="s">
        <v>23</v>
      </c>
      <c r="L293">
        <v>5000</v>
      </c>
      <c r="M293">
        <v>1993</v>
      </c>
      <c r="N293" t="s">
        <v>50</v>
      </c>
      <c r="O293" t="s">
        <v>401</v>
      </c>
      <c r="P293" t="s">
        <v>402</v>
      </c>
      <c r="Q293" t="s">
        <v>52</v>
      </c>
      <c r="R293" t="s">
        <v>728</v>
      </c>
    </row>
    <row r="294" spans="1:18">
      <c r="A294">
        <v>294</v>
      </c>
      <c r="B294" t="s">
        <v>18</v>
      </c>
      <c r="C294">
        <v>141</v>
      </c>
      <c r="D294">
        <v>225</v>
      </c>
      <c r="E294">
        <v>3.7</v>
      </c>
      <c r="F294" t="s">
        <v>729</v>
      </c>
      <c r="G294" t="s">
        <v>730</v>
      </c>
      <c r="H294" t="s">
        <v>226</v>
      </c>
      <c r="I294" t="s">
        <v>227</v>
      </c>
      <c r="J294" t="s">
        <v>731</v>
      </c>
      <c r="K294" t="s">
        <v>56</v>
      </c>
      <c r="L294">
        <v>1000</v>
      </c>
      <c r="M294">
        <v>-1</v>
      </c>
      <c r="N294" t="s">
        <v>31</v>
      </c>
      <c r="O294" t="s">
        <v>732</v>
      </c>
      <c r="P294" t="s">
        <v>92</v>
      </c>
      <c r="Q294" t="s">
        <v>42</v>
      </c>
      <c r="R294" t="s">
        <v>39</v>
      </c>
    </row>
    <row r="295" spans="1:18">
      <c r="A295">
        <v>295</v>
      </c>
      <c r="B295" t="s">
        <v>18</v>
      </c>
      <c r="C295">
        <v>141</v>
      </c>
      <c r="D295">
        <v>225</v>
      </c>
      <c r="E295">
        <v>4.0999999999999996</v>
      </c>
      <c r="F295" t="s">
        <v>733</v>
      </c>
      <c r="G295" t="s">
        <v>734</v>
      </c>
      <c r="H295" t="s">
        <v>120</v>
      </c>
      <c r="I295" t="s">
        <v>121</v>
      </c>
      <c r="J295" t="s">
        <v>735</v>
      </c>
      <c r="K295" t="s">
        <v>85</v>
      </c>
      <c r="M295">
        <v>-1</v>
      </c>
      <c r="N295" t="s">
        <v>736</v>
      </c>
      <c r="O295" t="s">
        <v>204</v>
      </c>
      <c r="P295" t="s">
        <v>205</v>
      </c>
      <c r="Q295" t="s">
        <v>27</v>
      </c>
      <c r="R295" t="s">
        <v>39</v>
      </c>
    </row>
    <row r="296" spans="1:18">
      <c r="A296">
        <v>296</v>
      </c>
      <c r="B296" t="s">
        <v>18</v>
      </c>
      <c r="C296">
        <v>141</v>
      </c>
      <c r="D296">
        <v>225</v>
      </c>
      <c r="E296">
        <v>3.4</v>
      </c>
      <c r="F296" t="s">
        <v>737</v>
      </c>
      <c r="G296" t="s">
        <v>20</v>
      </c>
      <c r="H296" t="s">
        <v>21</v>
      </c>
      <c r="I296" t="s">
        <v>20</v>
      </c>
      <c r="J296" t="s">
        <v>22</v>
      </c>
      <c r="K296" t="s">
        <v>67</v>
      </c>
      <c r="L296">
        <v>50</v>
      </c>
      <c r="M296">
        <v>2017</v>
      </c>
      <c r="N296" t="s">
        <v>31</v>
      </c>
      <c r="O296" t="s">
        <v>738</v>
      </c>
      <c r="P296" t="s">
        <v>92</v>
      </c>
      <c r="Q296" t="s">
        <v>27</v>
      </c>
      <c r="R296" t="s">
        <v>39</v>
      </c>
    </row>
    <row r="297" spans="1:18">
      <c r="A297">
        <v>297</v>
      </c>
      <c r="B297" t="s">
        <v>99</v>
      </c>
      <c r="C297">
        <v>141</v>
      </c>
      <c r="D297">
        <v>225</v>
      </c>
      <c r="E297">
        <v>4.5</v>
      </c>
      <c r="F297" t="s">
        <v>739</v>
      </c>
      <c r="G297" t="s">
        <v>367</v>
      </c>
      <c r="H297" t="s">
        <v>46</v>
      </c>
      <c r="I297" t="s">
        <v>47</v>
      </c>
      <c r="J297" t="s">
        <v>194</v>
      </c>
      <c r="K297" t="s">
        <v>67</v>
      </c>
      <c r="L297">
        <v>50</v>
      </c>
      <c r="M297">
        <v>2017</v>
      </c>
      <c r="N297" t="s">
        <v>31</v>
      </c>
      <c r="O297" t="s">
        <v>98</v>
      </c>
      <c r="P297" t="s">
        <v>38</v>
      </c>
      <c r="Q297" t="s">
        <v>27</v>
      </c>
      <c r="R297" t="s">
        <v>39</v>
      </c>
    </row>
    <row r="298" spans="1:18">
      <c r="A298">
        <v>298</v>
      </c>
      <c r="B298" t="s">
        <v>18</v>
      </c>
      <c r="C298">
        <v>141</v>
      </c>
      <c r="D298">
        <v>225</v>
      </c>
      <c r="E298">
        <v>3.5</v>
      </c>
      <c r="F298" t="s">
        <v>740</v>
      </c>
      <c r="G298" t="s">
        <v>20</v>
      </c>
      <c r="H298" t="s">
        <v>21</v>
      </c>
      <c r="I298" t="s">
        <v>20</v>
      </c>
      <c r="J298" t="s">
        <v>741</v>
      </c>
      <c r="K298" t="s">
        <v>23</v>
      </c>
      <c r="L298">
        <v>5000</v>
      </c>
      <c r="M298">
        <v>1990</v>
      </c>
      <c r="N298" t="s">
        <v>31</v>
      </c>
      <c r="O298" t="s">
        <v>742</v>
      </c>
      <c r="P298" t="s">
        <v>743</v>
      </c>
      <c r="Q298" t="s">
        <v>27</v>
      </c>
      <c r="R298" t="s">
        <v>39</v>
      </c>
    </row>
    <row r="299" spans="1:18">
      <c r="A299">
        <v>299</v>
      </c>
      <c r="B299" t="s">
        <v>18</v>
      </c>
      <c r="C299">
        <v>141</v>
      </c>
      <c r="D299">
        <v>225</v>
      </c>
      <c r="E299">
        <v>3.6</v>
      </c>
      <c r="F299" t="s">
        <v>744</v>
      </c>
      <c r="G299" t="s">
        <v>745</v>
      </c>
      <c r="H299" t="s">
        <v>46</v>
      </c>
      <c r="I299" t="s">
        <v>47</v>
      </c>
      <c r="J299" t="s">
        <v>746</v>
      </c>
      <c r="K299" t="s">
        <v>85</v>
      </c>
      <c r="M299">
        <v>2007</v>
      </c>
      <c r="N299" t="s">
        <v>50</v>
      </c>
      <c r="O299" t="s">
        <v>79</v>
      </c>
      <c r="P299" t="s">
        <v>80</v>
      </c>
      <c r="Q299" t="s">
        <v>87</v>
      </c>
      <c r="R299" t="s">
        <v>39</v>
      </c>
    </row>
    <row r="300" spans="1:18">
      <c r="A300">
        <v>300</v>
      </c>
      <c r="B300" t="s">
        <v>18</v>
      </c>
      <c r="C300">
        <v>141</v>
      </c>
      <c r="D300">
        <v>225</v>
      </c>
      <c r="E300">
        <v>3.2</v>
      </c>
      <c r="F300" t="s">
        <v>747</v>
      </c>
      <c r="G300" t="s">
        <v>748</v>
      </c>
      <c r="H300" t="s">
        <v>46</v>
      </c>
      <c r="I300" t="s">
        <v>47</v>
      </c>
      <c r="J300" t="s">
        <v>749</v>
      </c>
      <c r="K300" t="s">
        <v>85</v>
      </c>
      <c r="M300">
        <v>1788</v>
      </c>
      <c r="N300" t="s">
        <v>63</v>
      </c>
      <c r="O300" t="s">
        <v>750</v>
      </c>
      <c r="P300" t="s">
        <v>63</v>
      </c>
      <c r="Q300" t="s">
        <v>87</v>
      </c>
      <c r="R300" t="s">
        <v>39</v>
      </c>
    </row>
    <row r="301" spans="1:18">
      <c r="A301">
        <v>301</v>
      </c>
      <c r="B301" t="s">
        <v>18</v>
      </c>
      <c r="C301">
        <v>141</v>
      </c>
      <c r="D301">
        <v>225</v>
      </c>
      <c r="E301">
        <v>3.7</v>
      </c>
      <c r="F301" t="s">
        <v>751</v>
      </c>
      <c r="G301" t="s">
        <v>20</v>
      </c>
      <c r="H301" t="s">
        <v>21</v>
      </c>
      <c r="I301" t="s">
        <v>20</v>
      </c>
      <c r="J301" t="s">
        <v>752</v>
      </c>
      <c r="K301" t="s">
        <v>56</v>
      </c>
      <c r="L301">
        <v>1000</v>
      </c>
      <c r="M301">
        <v>2000</v>
      </c>
      <c r="N301" t="s">
        <v>31</v>
      </c>
      <c r="O301" t="s">
        <v>37</v>
      </c>
      <c r="P301" t="s">
        <v>38</v>
      </c>
      <c r="Q301" t="s">
        <v>64</v>
      </c>
      <c r="R301" t="s">
        <v>39</v>
      </c>
    </row>
    <row r="302" spans="1:18">
      <c r="A302">
        <v>302</v>
      </c>
      <c r="B302" t="s">
        <v>18</v>
      </c>
      <c r="C302">
        <v>141</v>
      </c>
      <c r="D302">
        <v>225</v>
      </c>
      <c r="E302">
        <v>4</v>
      </c>
      <c r="F302" t="s">
        <v>753</v>
      </c>
      <c r="G302" t="s">
        <v>754</v>
      </c>
      <c r="H302" t="s">
        <v>120</v>
      </c>
      <c r="I302" t="s">
        <v>121</v>
      </c>
      <c r="J302" t="s">
        <v>755</v>
      </c>
      <c r="K302" t="s">
        <v>56</v>
      </c>
      <c r="L302">
        <v>1000</v>
      </c>
      <c r="M302">
        <v>1992</v>
      </c>
      <c r="N302" t="s">
        <v>31</v>
      </c>
      <c r="O302" t="s">
        <v>738</v>
      </c>
      <c r="P302" t="s">
        <v>92</v>
      </c>
      <c r="Q302" t="s">
        <v>42</v>
      </c>
      <c r="R302" t="s">
        <v>39</v>
      </c>
    </row>
    <row r="303" spans="1:18">
      <c r="A303">
        <v>303</v>
      </c>
      <c r="B303" t="s">
        <v>18</v>
      </c>
      <c r="C303">
        <v>145</v>
      </c>
      <c r="D303">
        <v>225</v>
      </c>
      <c r="E303">
        <v>3.2</v>
      </c>
      <c r="F303" t="s">
        <v>35</v>
      </c>
      <c r="G303" t="s">
        <v>152</v>
      </c>
      <c r="H303" t="s">
        <v>153</v>
      </c>
      <c r="I303" t="s">
        <v>154</v>
      </c>
      <c r="J303" t="s">
        <v>36</v>
      </c>
      <c r="K303" t="s">
        <v>30</v>
      </c>
      <c r="L303">
        <v>200</v>
      </c>
      <c r="M303">
        <v>2015</v>
      </c>
      <c r="N303" t="s">
        <v>31</v>
      </c>
      <c r="O303" t="s">
        <v>37</v>
      </c>
      <c r="P303" t="s">
        <v>38</v>
      </c>
      <c r="Q303" t="s">
        <v>27</v>
      </c>
      <c r="R303" t="s">
        <v>39</v>
      </c>
    </row>
    <row r="304" spans="1:18">
      <c r="A304">
        <v>304</v>
      </c>
      <c r="B304" t="s">
        <v>18</v>
      </c>
      <c r="C304">
        <v>145</v>
      </c>
      <c r="D304">
        <v>225</v>
      </c>
      <c r="E304">
        <v>4.5</v>
      </c>
      <c r="F304" t="s">
        <v>59</v>
      </c>
      <c r="G304" t="s">
        <v>60</v>
      </c>
      <c r="H304" t="s">
        <v>46</v>
      </c>
      <c r="I304" t="s">
        <v>47</v>
      </c>
      <c r="J304" t="s">
        <v>61</v>
      </c>
      <c r="K304" t="s">
        <v>30</v>
      </c>
      <c r="L304">
        <v>200</v>
      </c>
      <c r="M304">
        <v>2005</v>
      </c>
      <c r="N304" t="s">
        <v>31</v>
      </c>
      <c r="O304" t="s">
        <v>62</v>
      </c>
      <c r="P304" t="s">
        <v>63</v>
      </c>
      <c r="Q304" t="s">
        <v>64</v>
      </c>
      <c r="R304" t="s">
        <v>39</v>
      </c>
    </row>
    <row r="305" spans="1:18">
      <c r="A305">
        <v>305</v>
      </c>
      <c r="B305" t="s">
        <v>112</v>
      </c>
      <c r="C305">
        <v>145</v>
      </c>
      <c r="D305">
        <v>225</v>
      </c>
      <c r="E305">
        <v>3.4</v>
      </c>
      <c r="F305" t="s">
        <v>756</v>
      </c>
      <c r="G305" t="s">
        <v>192</v>
      </c>
      <c r="H305" t="s">
        <v>112</v>
      </c>
      <c r="I305" t="s">
        <v>193</v>
      </c>
      <c r="J305" t="s">
        <v>36</v>
      </c>
      <c r="K305" t="s">
        <v>30</v>
      </c>
      <c r="L305">
        <v>200</v>
      </c>
      <c r="M305">
        <v>2013</v>
      </c>
      <c r="N305" t="s">
        <v>31</v>
      </c>
      <c r="O305" t="s">
        <v>57</v>
      </c>
      <c r="P305" t="s">
        <v>38</v>
      </c>
      <c r="Q305" t="s">
        <v>27</v>
      </c>
      <c r="R305" t="s">
        <v>39</v>
      </c>
    </row>
    <row r="306" spans="1:18">
      <c r="A306">
        <v>306</v>
      </c>
      <c r="B306" t="s">
        <v>18</v>
      </c>
      <c r="C306">
        <v>145</v>
      </c>
      <c r="D306">
        <v>225</v>
      </c>
      <c r="E306">
        <v>3.9</v>
      </c>
      <c r="F306" t="s">
        <v>757</v>
      </c>
      <c r="G306" t="s">
        <v>758</v>
      </c>
      <c r="H306" t="s">
        <v>331</v>
      </c>
      <c r="I306" t="s">
        <v>332</v>
      </c>
      <c r="J306" t="s">
        <v>336</v>
      </c>
      <c r="K306" t="s">
        <v>106</v>
      </c>
      <c r="L306">
        <v>500</v>
      </c>
      <c r="M306">
        <v>2004</v>
      </c>
      <c r="N306" t="s">
        <v>31</v>
      </c>
      <c r="O306" t="s">
        <v>98</v>
      </c>
      <c r="P306" t="s">
        <v>38</v>
      </c>
      <c r="Q306" t="s">
        <v>140</v>
      </c>
      <c r="R306" t="s">
        <v>39</v>
      </c>
    </row>
    <row r="307" spans="1:18">
      <c r="A307">
        <v>307</v>
      </c>
      <c r="B307" t="s">
        <v>18</v>
      </c>
      <c r="C307">
        <v>145</v>
      </c>
      <c r="D307">
        <v>225</v>
      </c>
      <c r="E307">
        <v>3.2</v>
      </c>
      <c r="F307" t="s">
        <v>759</v>
      </c>
      <c r="G307" t="s">
        <v>192</v>
      </c>
      <c r="H307" t="s">
        <v>112</v>
      </c>
      <c r="I307" t="s">
        <v>193</v>
      </c>
      <c r="J307" t="s">
        <v>760</v>
      </c>
      <c r="K307" t="s">
        <v>67</v>
      </c>
      <c r="L307">
        <v>50</v>
      </c>
      <c r="M307">
        <v>-1</v>
      </c>
      <c r="N307" t="s">
        <v>31</v>
      </c>
      <c r="O307" t="s">
        <v>98</v>
      </c>
      <c r="P307" t="s">
        <v>38</v>
      </c>
      <c r="Q307" t="s">
        <v>68</v>
      </c>
      <c r="R307" t="s">
        <v>39</v>
      </c>
    </row>
    <row r="308" spans="1:18">
      <c r="A308">
        <v>308</v>
      </c>
      <c r="B308" t="s">
        <v>18</v>
      </c>
      <c r="C308">
        <v>145</v>
      </c>
      <c r="D308">
        <v>225</v>
      </c>
      <c r="E308">
        <v>5</v>
      </c>
      <c r="F308" t="s">
        <v>759</v>
      </c>
      <c r="G308" t="s">
        <v>20</v>
      </c>
      <c r="H308" t="s">
        <v>21</v>
      </c>
      <c r="I308" t="s">
        <v>20</v>
      </c>
      <c r="J308" t="s">
        <v>761</v>
      </c>
      <c r="K308" t="s">
        <v>546</v>
      </c>
      <c r="M308">
        <v>-1</v>
      </c>
      <c r="N308" t="s">
        <v>50</v>
      </c>
      <c r="O308" t="s">
        <v>39</v>
      </c>
      <c r="P308">
        <v>-1</v>
      </c>
      <c r="Q308" t="s">
        <v>27</v>
      </c>
      <c r="R308" t="s">
        <v>39</v>
      </c>
    </row>
    <row r="309" spans="1:18">
      <c r="A309">
        <v>309</v>
      </c>
      <c r="B309" t="s">
        <v>18</v>
      </c>
      <c r="C309">
        <v>145</v>
      </c>
      <c r="D309">
        <v>225</v>
      </c>
      <c r="E309">
        <v>3.4</v>
      </c>
      <c r="F309" t="s">
        <v>762</v>
      </c>
      <c r="G309" t="s">
        <v>367</v>
      </c>
      <c r="H309" t="s">
        <v>46</v>
      </c>
      <c r="I309" t="s">
        <v>47</v>
      </c>
      <c r="J309" t="s">
        <v>763</v>
      </c>
      <c r="K309" t="s">
        <v>49</v>
      </c>
      <c r="L309">
        <v>10000</v>
      </c>
      <c r="M309">
        <v>2003</v>
      </c>
      <c r="N309" t="s">
        <v>31</v>
      </c>
      <c r="O309" t="s">
        <v>96</v>
      </c>
      <c r="P309" t="s">
        <v>96</v>
      </c>
      <c r="Q309" t="s">
        <v>183</v>
      </c>
      <c r="R309" t="s">
        <v>39</v>
      </c>
    </row>
    <row r="310" spans="1:18">
      <c r="A310">
        <v>310</v>
      </c>
      <c r="B310" t="s">
        <v>18</v>
      </c>
      <c r="C310">
        <v>145</v>
      </c>
      <c r="D310">
        <v>225</v>
      </c>
      <c r="E310">
        <v>4.4000000000000004</v>
      </c>
      <c r="F310" t="s">
        <v>764</v>
      </c>
      <c r="G310" t="s">
        <v>20</v>
      </c>
      <c r="H310" t="s">
        <v>21</v>
      </c>
      <c r="I310" t="s">
        <v>20</v>
      </c>
      <c r="J310" t="s">
        <v>656</v>
      </c>
      <c r="K310" t="s">
        <v>30</v>
      </c>
      <c r="L310">
        <v>200</v>
      </c>
      <c r="M310">
        <v>2015</v>
      </c>
      <c r="N310" t="s">
        <v>31</v>
      </c>
      <c r="O310" t="s">
        <v>98</v>
      </c>
      <c r="P310" t="s">
        <v>38</v>
      </c>
      <c r="Q310" t="s">
        <v>27</v>
      </c>
      <c r="R310" t="s">
        <v>39</v>
      </c>
    </row>
    <row r="311" spans="1:18">
      <c r="A311">
        <v>311</v>
      </c>
      <c r="B311" t="s">
        <v>99</v>
      </c>
      <c r="C311">
        <v>145</v>
      </c>
      <c r="D311">
        <v>225</v>
      </c>
      <c r="E311">
        <v>3.8</v>
      </c>
      <c r="F311" t="s">
        <v>554</v>
      </c>
      <c r="G311" t="s">
        <v>555</v>
      </c>
      <c r="H311" t="s">
        <v>214</v>
      </c>
      <c r="I311" t="s">
        <v>215</v>
      </c>
      <c r="J311" t="s">
        <v>556</v>
      </c>
      <c r="K311" t="s">
        <v>49</v>
      </c>
      <c r="L311">
        <v>10000</v>
      </c>
      <c r="M311">
        <v>1918</v>
      </c>
      <c r="N311" t="s">
        <v>24</v>
      </c>
      <c r="O311" t="s">
        <v>204</v>
      </c>
      <c r="P311" t="s">
        <v>205</v>
      </c>
      <c r="Q311" t="s">
        <v>42</v>
      </c>
      <c r="R311" t="s">
        <v>557</v>
      </c>
    </row>
    <row r="312" spans="1:18">
      <c r="A312">
        <v>312</v>
      </c>
      <c r="B312" t="s">
        <v>112</v>
      </c>
      <c r="C312">
        <v>145</v>
      </c>
      <c r="D312">
        <v>225</v>
      </c>
      <c r="E312">
        <v>3.8</v>
      </c>
      <c r="F312" t="s">
        <v>558</v>
      </c>
      <c r="G312" t="s">
        <v>559</v>
      </c>
      <c r="H312" t="s">
        <v>560</v>
      </c>
      <c r="I312" t="s">
        <v>561</v>
      </c>
      <c r="J312" t="s">
        <v>108</v>
      </c>
      <c r="K312" t="s">
        <v>106</v>
      </c>
      <c r="L312">
        <v>500</v>
      </c>
      <c r="M312">
        <v>2013</v>
      </c>
      <c r="N312" t="s">
        <v>50</v>
      </c>
      <c r="O312" t="s">
        <v>86</v>
      </c>
      <c r="P312" t="s">
        <v>86</v>
      </c>
      <c r="Q312" t="s">
        <v>42</v>
      </c>
      <c r="R312" t="s">
        <v>39</v>
      </c>
    </row>
    <row r="313" spans="1:18">
      <c r="A313">
        <v>313</v>
      </c>
      <c r="B313" t="s">
        <v>18</v>
      </c>
      <c r="C313">
        <v>145</v>
      </c>
      <c r="D313">
        <v>225</v>
      </c>
      <c r="E313">
        <v>3.5</v>
      </c>
      <c r="F313" t="s">
        <v>765</v>
      </c>
      <c r="G313" t="s">
        <v>167</v>
      </c>
      <c r="H313" t="s">
        <v>168</v>
      </c>
      <c r="I313" t="s">
        <v>169</v>
      </c>
      <c r="J313" t="s">
        <v>711</v>
      </c>
      <c r="K313" t="s">
        <v>106</v>
      </c>
      <c r="L313">
        <v>500</v>
      </c>
      <c r="M313">
        <v>1992</v>
      </c>
      <c r="N313" t="s">
        <v>50</v>
      </c>
      <c r="O313" t="s">
        <v>766</v>
      </c>
      <c r="P313" t="s">
        <v>102</v>
      </c>
      <c r="Q313" t="s">
        <v>42</v>
      </c>
      <c r="R313" t="s">
        <v>39</v>
      </c>
    </row>
    <row r="314" spans="1:18">
      <c r="A314">
        <v>314</v>
      </c>
      <c r="B314" t="s">
        <v>18</v>
      </c>
      <c r="C314">
        <v>145</v>
      </c>
      <c r="D314">
        <v>225</v>
      </c>
      <c r="E314">
        <v>3.8</v>
      </c>
      <c r="F314" t="s">
        <v>767</v>
      </c>
      <c r="G314" t="s">
        <v>129</v>
      </c>
      <c r="H314" t="s">
        <v>120</v>
      </c>
      <c r="I314" t="s">
        <v>121</v>
      </c>
      <c r="J314" t="s">
        <v>36</v>
      </c>
      <c r="K314" t="s">
        <v>106</v>
      </c>
      <c r="L314">
        <v>500</v>
      </c>
      <c r="M314">
        <v>2011</v>
      </c>
      <c r="N314" t="s">
        <v>31</v>
      </c>
      <c r="O314" t="s">
        <v>25</v>
      </c>
      <c r="P314" t="s">
        <v>26</v>
      </c>
      <c r="Q314" t="s">
        <v>27</v>
      </c>
      <c r="R314" t="s">
        <v>39</v>
      </c>
    </row>
    <row r="315" spans="1:18">
      <c r="A315">
        <v>315</v>
      </c>
      <c r="B315" t="s">
        <v>18</v>
      </c>
      <c r="C315">
        <v>145</v>
      </c>
      <c r="D315">
        <v>225</v>
      </c>
      <c r="E315">
        <v>3.9</v>
      </c>
      <c r="F315" t="s">
        <v>768</v>
      </c>
      <c r="G315" t="s">
        <v>769</v>
      </c>
      <c r="H315" t="s">
        <v>466</v>
      </c>
      <c r="I315" t="s">
        <v>467</v>
      </c>
      <c r="J315" t="s">
        <v>645</v>
      </c>
      <c r="K315" t="s">
        <v>23</v>
      </c>
      <c r="L315">
        <v>5000</v>
      </c>
      <c r="M315">
        <v>2005</v>
      </c>
      <c r="N315" t="s">
        <v>50</v>
      </c>
      <c r="O315" t="s">
        <v>41</v>
      </c>
      <c r="P315" t="s">
        <v>38</v>
      </c>
      <c r="Q315" t="s">
        <v>126</v>
      </c>
      <c r="R315" t="s">
        <v>770</v>
      </c>
    </row>
    <row r="316" spans="1:18">
      <c r="A316">
        <v>316</v>
      </c>
      <c r="B316" t="s">
        <v>18</v>
      </c>
      <c r="C316">
        <v>145</v>
      </c>
      <c r="D316">
        <v>225</v>
      </c>
      <c r="E316">
        <v>3.4</v>
      </c>
      <c r="F316" t="s">
        <v>771</v>
      </c>
      <c r="G316" t="s">
        <v>701</v>
      </c>
      <c r="H316" t="s">
        <v>221</v>
      </c>
      <c r="I316" t="s">
        <v>222</v>
      </c>
      <c r="J316" t="s">
        <v>702</v>
      </c>
      <c r="K316" t="s">
        <v>30</v>
      </c>
      <c r="L316">
        <v>200</v>
      </c>
      <c r="M316">
        <v>-1</v>
      </c>
      <c r="N316" t="s">
        <v>31</v>
      </c>
      <c r="O316" t="s">
        <v>39</v>
      </c>
      <c r="P316">
        <v>-1</v>
      </c>
      <c r="Q316" t="s">
        <v>68</v>
      </c>
      <c r="R316" t="s">
        <v>39</v>
      </c>
    </row>
    <row r="317" spans="1:18">
      <c r="A317">
        <v>317</v>
      </c>
      <c r="B317" t="s">
        <v>18</v>
      </c>
      <c r="C317">
        <v>145</v>
      </c>
      <c r="D317">
        <v>225</v>
      </c>
      <c r="E317">
        <v>3.8</v>
      </c>
      <c r="F317" t="s">
        <v>772</v>
      </c>
      <c r="G317" t="s">
        <v>20</v>
      </c>
      <c r="H317" t="s">
        <v>21</v>
      </c>
      <c r="I317" t="s">
        <v>20</v>
      </c>
      <c r="J317" t="s">
        <v>773</v>
      </c>
      <c r="K317" t="s">
        <v>30</v>
      </c>
      <c r="L317">
        <v>200</v>
      </c>
      <c r="M317">
        <v>2000</v>
      </c>
      <c r="N317" t="s">
        <v>31</v>
      </c>
      <c r="O317" t="s">
        <v>270</v>
      </c>
      <c r="P317" t="s">
        <v>33</v>
      </c>
      <c r="Q317" t="s">
        <v>64</v>
      </c>
      <c r="R317" t="s">
        <v>39</v>
      </c>
    </row>
    <row r="318" spans="1:18">
      <c r="A318">
        <v>318</v>
      </c>
      <c r="B318" t="s">
        <v>99</v>
      </c>
      <c r="C318">
        <v>145</v>
      </c>
      <c r="D318">
        <v>225</v>
      </c>
      <c r="E318">
        <v>4.5999999999999996</v>
      </c>
      <c r="F318" t="s">
        <v>562</v>
      </c>
      <c r="G318" t="s">
        <v>563</v>
      </c>
      <c r="H318" t="s">
        <v>564</v>
      </c>
      <c r="I318" t="s">
        <v>565</v>
      </c>
      <c r="J318" t="s">
        <v>566</v>
      </c>
      <c r="K318" t="s">
        <v>56</v>
      </c>
      <c r="L318">
        <v>1000</v>
      </c>
      <c r="M318">
        <v>1992</v>
      </c>
      <c r="N318" t="s">
        <v>31</v>
      </c>
      <c r="O318" t="s">
        <v>436</v>
      </c>
      <c r="P318" t="s">
        <v>102</v>
      </c>
      <c r="Q318" t="s">
        <v>42</v>
      </c>
      <c r="R318" t="s">
        <v>39</v>
      </c>
    </row>
    <row r="319" spans="1:18">
      <c r="A319">
        <v>319</v>
      </c>
      <c r="B319" t="s">
        <v>18</v>
      </c>
      <c r="C319">
        <v>145</v>
      </c>
      <c r="D319">
        <v>225</v>
      </c>
      <c r="E319">
        <v>-1</v>
      </c>
      <c r="F319" t="s">
        <v>774</v>
      </c>
      <c r="G319" t="s">
        <v>20</v>
      </c>
      <c r="H319" t="s">
        <v>21</v>
      </c>
      <c r="I319" t="s">
        <v>20</v>
      </c>
      <c r="J319" t="s">
        <v>148</v>
      </c>
      <c r="K319" t="s">
        <v>67</v>
      </c>
      <c r="L319">
        <v>50</v>
      </c>
      <c r="M319">
        <v>-1</v>
      </c>
      <c r="N319" t="s">
        <v>31</v>
      </c>
      <c r="O319" t="s">
        <v>75</v>
      </c>
      <c r="P319" t="s">
        <v>33</v>
      </c>
      <c r="Q319" t="s">
        <v>68</v>
      </c>
      <c r="R319" t="s">
        <v>39</v>
      </c>
    </row>
    <row r="320" spans="1:18">
      <c r="A320">
        <v>320</v>
      </c>
      <c r="B320" t="s">
        <v>18</v>
      </c>
      <c r="C320">
        <v>145</v>
      </c>
      <c r="D320">
        <v>225</v>
      </c>
      <c r="E320">
        <v>4.5999999999999996</v>
      </c>
      <c r="F320" t="s">
        <v>775</v>
      </c>
      <c r="G320" t="s">
        <v>776</v>
      </c>
      <c r="H320" t="s">
        <v>120</v>
      </c>
      <c r="I320" t="s">
        <v>121</v>
      </c>
      <c r="J320" t="s">
        <v>211</v>
      </c>
      <c r="K320" t="s">
        <v>30</v>
      </c>
      <c r="L320">
        <v>200</v>
      </c>
      <c r="M320">
        <v>-1</v>
      </c>
      <c r="N320" t="s">
        <v>31</v>
      </c>
      <c r="O320" t="s">
        <v>75</v>
      </c>
      <c r="P320" t="s">
        <v>33</v>
      </c>
      <c r="Q320" t="s">
        <v>359</v>
      </c>
      <c r="R320" t="s">
        <v>39</v>
      </c>
    </row>
    <row r="321" spans="1:18">
      <c r="A321">
        <v>321</v>
      </c>
      <c r="B321" t="s">
        <v>112</v>
      </c>
      <c r="C321">
        <v>145</v>
      </c>
      <c r="D321">
        <v>225</v>
      </c>
      <c r="E321">
        <v>3.9</v>
      </c>
      <c r="F321" t="s">
        <v>777</v>
      </c>
      <c r="G321" t="s">
        <v>748</v>
      </c>
      <c r="H321" t="s">
        <v>46</v>
      </c>
      <c r="I321" t="s">
        <v>47</v>
      </c>
      <c r="J321" t="s">
        <v>778</v>
      </c>
      <c r="K321" t="s">
        <v>85</v>
      </c>
      <c r="M321">
        <v>1830</v>
      </c>
      <c r="N321" t="s">
        <v>50</v>
      </c>
      <c r="O321" t="s">
        <v>86</v>
      </c>
      <c r="P321" t="s">
        <v>86</v>
      </c>
      <c r="Q321" t="s">
        <v>87</v>
      </c>
      <c r="R321" t="s">
        <v>779</v>
      </c>
    </row>
    <row r="322" spans="1:18">
      <c r="A322">
        <v>322</v>
      </c>
      <c r="B322" t="s">
        <v>18</v>
      </c>
      <c r="C322">
        <v>145</v>
      </c>
      <c r="D322">
        <v>225</v>
      </c>
      <c r="E322">
        <v>-1</v>
      </c>
      <c r="F322" t="s">
        <v>780</v>
      </c>
      <c r="G322" t="s">
        <v>521</v>
      </c>
      <c r="H322" t="s">
        <v>259</v>
      </c>
      <c r="I322" t="s">
        <v>260</v>
      </c>
      <c r="J322" t="s">
        <v>781</v>
      </c>
      <c r="K322" t="s">
        <v>67</v>
      </c>
      <c r="L322">
        <v>50</v>
      </c>
      <c r="M322">
        <v>-1</v>
      </c>
      <c r="N322" t="s">
        <v>31</v>
      </c>
      <c r="O322" t="s">
        <v>39</v>
      </c>
      <c r="P322">
        <v>-1</v>
      </c>
      <c r="Q322" t="s">
        <v>27</v>
      </c>
      <c r="R322" t="s">
        <v>39</v>
      </c>
    </row>
    <row r="323" spans="1:18">
      <c r="A323">
        <v>323</v>
      </c>
      <c r="B323" t="s">
        <v>18</v>
      </c>
      <c r="C323">
        <v>79</v>
      </c>
      <c r="D323">
        <v>147</v>
      </c>
      <c r="E323">
        <v>3.7</v>
      </c>
      <c r="F323" t="s">
        <v>141</v>
      </c>
      <c r="G323" t="s">
        <v>129</v>
      </c>
      <c r="H323" t="s">
        <v>120</v>
      </c>
      <c r="I323" t="s">
        <v>121</v>
      </c>
      <c r="J323" t="s">
        <v>142</v>
      </c>
      <c r="K323" t="s">
        <v>23</v>
      </c>
      <c r="L323">
        <v>5000</v>
      </c>
      <c r="M323">
        <v>2016</v>
      </c>
      <c r="N323" t="s">
        <v>63</v>
      </c>
      <c r="O323" t="s">
        <v>62</v>
      </c>
      <c r="P323" t="s">
        <v>63</v>
      </c>
      <c r="Q323" t="s">
        <v>27</v>
      </c>
      <c r="R323" t="s">
        <v>39</v>
      </c>
    </row>
    <row r="324" spans="1:18">
      <c r="A324">
        <v>324</v>
      </c>
      <c r="B324" t="s">
        <v>18</v>
      </c>
      <c r="C324">
        <v>79</v>
      </c>
      <c r="D324">
        <v>147</v>
      </c>
      <c r="E324">
        <v>3.3</v>
      </c>
      <c r="F324" t="s">
        <v>189</v>
      </c>
      <c r="G324" t="s">
        <v>190</v>
      </c>
      <c r="H324" t="s">
        <v>179</v>
      </c>
      <c r="I324" t="s">
        <v>145</v>
      </c>
      <c r="J324" t="s">
        <v>187</v>
      </c>
      <c r="K324" t="s">
        <v>56</v>
      </c>
      <c r="L324">
        <v>1000</v>
      </c>
      <c r="M324">
        <v>2000</v>
      </c>
      <c r="N324" t="s">
        <v>31</v>
      </c>
      <c r="O324" t="s">
        <v>101</v>
      </c>
      <c r="P324" t="s">
        <v>102</v>
      </c>
      <c r="Q324" t="s">
        <v>27</v>
      </c>
      <c r="R324" t="s">
        <v>39</v>
      </c>
    </row>
    <row r="325" spans="1:18">
      <c r="A325">
        <v>325</v>
      </c>
      <c r="B325" t="s">
        <v>195</v>
      </c>
      <c r="C325">
        <v>79</v>
      </c>
      <c r="D325">
        <v>147</v>
      </c>
      <c r="E325">
        <v>4.4000000000000004</v>
      </c>
      <c r="F325" t="s">
        <v>573</v>
      </c>
      <c r="G325" t="s">
        <v>129</v>
      </c>
      <c r="H325" t="s">
        <v>120</v>
      </c>
      <c r="I325" t="s">
        <v>121</v>
      </c>
      <c r="J325" t="s">
        <v>36</v>
      </c>
      <c r="K325" t="s">
        <v>30</v>
      </c>
      <c r="L325">
        <v>200</v>
      </c>
      <c r="M325">
        <v>2008</v>
      </c>
      <c r="N325" t="s">
        <v>31</v>
      </c>
      <c r="O325" t="s">
        <v>37</v>
      </c>
      <c r="P325" t="s">
        <v>38</v>
      </c>
      <c r="Q325" t="s">
        <v>198</v>
      </c>
      <c r="R325" t="s">
        <v>39</v>
      </c>
    </row>
    <row r="326" spans="1:18">
      <c r="A326">
        <v>326</v>
      </c>
      <c r="B326" t="s">
        <v>18</v>
      </c>
      <c r="C326">
        <v>79</v>
      </c>
      <c r="D326">
        <v>147</v>
      </c>
      <c r="E326">
        <v>3.7</v>
      </c>
      <c r="F326" t="s">
        <v>782</v>
      </c>
      <c r="G326" t="s">
        <v>653</v>
      </c>
      <c r="H326" t="s">
        <v>120</v>
      </c>
      <c r="I326" t="s">
        <v>121</v>
      </c>
      <c r="J326" t="s">
        <v>783</v>
      </c>
      <c r="K326" t="s">
        <v>23</v>
      </c>
      <c r="L326">
        <v>5000</v>
      </c>
      <c r="M326">
        <v>1997</v>
      </c>
      <c r="N326" t="s">
        <v>31</v>
      </c>
      <c r="O326" t="s">
        <v>98</v>
      </c>
      <c r="P326" t="s">
        <v>38</v>
      </c>
      <c r="Q326" t="s">
        <v>64</v>
      </c>
      <c r="R326" t="s">
        <v>39</v>
      </c>
    </row>
    <row r="327" spans="1:18">
      <c r="A327">
        <v>327</v>
      </c>
      <c r="B327" t="s">
        <v>18</v>
      </c>
      <c r="C327">
        <v>79</v>
      </c>
      <c r="D327">
        <v>147</v>
      </c>
      <c r="E327">
        <v>3.3</v>
      </c>
      <c r="F327" t="s">
        <v>784</v>
      </c>
      <c r="G327" t="s">
        <v>129</v>
      </c>
      <c r="H327" t="s">
        <v>120</v>
      </c>
      <c r="I327" t="s">
        <v>121</v>
      </c>
      <c r="J327" t="s">
        <v>785</v>
      </c>
      <c r="K327" t="s">
        <v>106</v>
      </c>
      <c r="L327">
        <v>500</v>
      </c>
      <c r="M327">
        <v>1995</v>
      </c>
      <c r="N327" t="s">
        <v>31</v>
      </c>
      <c r="O327" t="s">
        <v>270</v>
      </c>
      <c r="P327" t="s">
        <v>33</v>
      </c>
      <c r="Q327" t="s">
        <v>64</v>
      </c>
      <c r="R327" t="s">
        <v>39</v>
      </c>
    </row>
    <row r="328" spans="1:18">
      <c r="A328">
        <v>328</v>
      </c>
      <c r="B328" t="s">
        <v>18</v>
      </c>
      <c r="C328">
        <v>79</v>
      </c>
      <c r="D328">
        <v>147</v>
      </c>
      <c r="E328">
        <v>3.4</v>
      </c>
      <c r="F328" t="s">
        <v>786</v>
      </c>
      <c r="G328" t="s">
        <v>70</v>
      </c>
      <c r="H328" t="s">
        <v>71</v>
      </c>
      <c r="I328" t="s">
        <v>72</v>
      </c>
      <c r="J328" t="s">
        <v>787</v>
      </c>
      <c r="K328" t="s">
        <v>30</v>
      </c>
      <c r="L328">
        <v>200</v>
      </c>
      <c r="M328">
        <v>1984</v>
      </c>
      <c r="N328" t="s">
        <v>31</v>
      </c>
      <c r="O328" t="s">
        <v>37</v>
      </c>
      <c r="P328" t="s">
        <v>38</v>
      </c>
      <c r="Q328" t="s">
        <v>359</v>
      </c>
      <c r="R328" t="s">
        <v>788</v>
      </c>
    </row>
    <row r="329" spans="1:18">
      <c r="A329">
        <v>329</v>
      </c>
      <c r="B329" t="s">
        <v>18</v>
      </c>
      <c r="C329">
        <v>79</v>
      </c>
      <c r="D329">
        <v>147</v>
      </c>
      <c r="E329">
        <v>-1</v>
      </c>
      <c r="F329" t="s">
        <v>789</v>
      </c>
      <c r="G329" t="s">
        <v>367</v>
      </c>
      <c r="H329" t="s">
        <v>46</v>
      </c>
      <c r="I329" t="s">
        <v>47</v>
      </c>
      <c r="J329" t="s">
        <v>790</v>
      </c>
      <c r="K329" t="s">
        <v>30</v>
      </c>
      <c r="L329">
        <v>200</v>
      </c>
      <c r="M329">
        <v>-1</v>
      </c>
      <c r="N329" t="s">
        <v>31</v>
      </c>
      <c r="O329" t="s">
        <v>98</v>
      </c>
      <c r="P329" t="s">
        <v>38</v>
      </c>
      <c r="Q329" t="s">
        <v>27</v>
      </c>
      <c r="R329" t="s">
        <v>39</v>
      </c>
    </row>
    <row r="330" spans="1:18">
      <c r="A330">
        <v>330</v>
      </c>
      <c r="B330" t="s">
        <v>103</v>
      </c>
      <c r="C330">
        <v>79</v>
      </c>
      <c r="D330">
        <v>147</v>
      </c>
      <c r="E330">
        <v>3.7</v>
      </c>
      <c r="F330" t="s">
        <v>569</v>
      </c>
      <c r="G330" t="s">
        <v>570</v>
      </c>
      <c r="H330" t="s">
        <v>46</v>
      </c>
      <c r="I330" t="s">
        <v>47</v>
      </c>
      <c r="J330" t="s">
        <v>571</v>
      </c>
      <c r="K330" t="s">
        <v>56</v>
      </c>
      <c r="L330">
        <v>1000</v>
      </c>
      <c r="M330">
        <v>1954</v>
      </c>
      <c r="N330" t="s">
        <v>50</v>
      </c>
      <c r="O330" t="s">
        <v>96</v>
      </c>
      <c r="P330" t="s">
        <v>96</v>
      </c>
      <c r="Q330" t="s">
        <v>42</v>
      </c>
      <c r="R330" t="s">
        <v>572</v>
      </c>
    </row>
    <row r="331" spans="1:18">
      <c r="A331">
        <v>331</v>
      </c>
      <c r="B331" t="s">
        <v>112</v>
      </c>
      <c r="C331">
        <v>79</v>
      </c>
      <c r="D331">
        <v>147</v>
      </c>
      <c r="E331">
        <v>3.7</v>
      </c>
      <c r="F331" t="s">
        <v>791</v>
      </c>
      <c r="G331" t="s">
        <v>792</v>
      </c>
      <c r="H331" t="s">
        <v>625</v>
      </c>
      <c r="I331" t="s">
        <v>626</v>
      </c>
      <c r="J331" t="s">
        <v>793</v>
      </c>
      <c r="K331" t="s">
        <v>23</v>
      </c>
      <c r="L331">
        <v>5000</v>
      </c>
      <c r="M331">
        <v>1933</v>
      </c>
      <c r="N331" t="s">
        <v>31</v>
      </c>
      <c r="O331" t="s">
        <v>25</v>
      </c>
      <c r="P331" t="s">
        <v>26</v>
      </c>
      <c r="Q331" t="s">
        <v>217</v>
      </c>
      <c r="R331" t="s">
        <v>39</v>
      </c>
    </row>
    <row r="332" spans="1:18">
      <c r="A332">
        <v>332</v>
      </c>
      <c r="B332" t="s">
        <v>103</v>
      </c>
      <c r="C332">
        <v>79</v>
      </c>
      <c r="D332">
        <v>147</v>
      </c>
      <c r="E332">
        <v>4.8</v>
      </c>
      <c r="F332" t="s">
        <v>794</v>
      </c>
      <c r="G332" t="s">
        <v>20</v>
      </c>
      <c r="H332" t="s">
        <v>21</v>
      </c>
      <c r="I332" t="s">
        <v>20</v>
      </c>
      <c r="J332" t="s">
        <v>22</v>
      </c>
      <c r="K332" t="s">
        <v>56</v>
      </c>
      <c r="L332">
        <v>1000</v>
      </c>
      <c r="M332">
        <v>2000</v>
      </c>
      <c r="N332" t="s">
        <v>31</v>
      </c>
      <c r="O332" t="s">
        <v>101</v>
      </c>
      <c r="P332" t="s">
        <v>102</v>
      </c>
      <c r="Q332" t="s">
        <v>27</v>
      </c>
      <c r="R332" t="s">
        <v>39</v>
      </c>
    </row>
    <row r="333" spans="1:18">
      <c r="A333">
        <v>333</v>
      </c>
      <c r="B333" t="s">
        <v>18</v>
      </c>
      <c r="C333">
        <v>79</v>
      </c>
      <c r="D333">
        <v>147</v>
      </c>
      <c r="E333">
        <v>5</v>
      </c>
      <c r="F333" t="s">
        <v>795</v>
      </c>
      <c r="G333" t="s">
        <v>60</v>
      </c>
      <c r="H333" t="s">
        <v>46</v>
      </c>
      <c r="I333" t="s">
        <v>47</v>
      </c>
      <c r="J333" t="s">
        <v>413</v>
      </c>
      <c r="K333" t="s">
        <v>67</v>
      </c>
      <c r="L333">
        <v>50</v>
      </c>
      <c r="M333">
        <v>2003</v>
      </c>
      <c r="N333" t="s">
        <v>31</v>
      </c>
      <c r="O333" t="s">
        <v>37</v>
      </c>
      <c r="P333" t="s">
        <v>38</v>
      </c>
      <c r="Q333" t="s">
        <v>140</v>
      </c>
      <c r="R333" t="s">
        <v>39</v>
      </c>
    </row>
    <row r="334" spans="1:18">
      <c r="A334">
        <v>334</v>
      </c>
      <c r="B334" t="s">
        <v>18</v>
      </c>
      <c r="C334">
        <v>79</v>
      </c>
      <c r="D334">
        <v>147</v>
      </c>
      <c r="E334">
        <v>3.9</v>
      </c>
      <c r="F334" t="s">
        <v>82</v>
      </c>
      <c r="G334" t="s">
        <v>83</v>
      </c>
      <c r="H334" t="s">
        <v>71</v>
      </c>
      <c r="I334" t="s">
        <v>72</v>
      </c>
      <c r="J334" t="s">
        <v>84</v>
      </c>
      <c r="K334" t="s">
        <v>85</v>
      </c>
      <c r="M334">
        <v>1996</v>
      </c>
      <c r="N334" t="s">
        <v>50</v>
      </c>
      <c r="O334" t="s">
        <v>86</v>
      </c>
      <c r="P334" t="s">
        <v>86</v>
      </c>
      <c r="Q334" t="s">
        <v>87</v>
      </c>
      <c r="R334" t="s">
        <v>39</v>
      </c>
    </row>
    <row r="335" spans="1:18">
      <c r="A335">
        <v>335</v>
      </c>
      <c r="B335" t="s">
        <v>18</v>
      </c>
      <c r="C335">
        <v>79</v>
      </c>
      <c r="D335">
        <v>147</v>
      </c>
      <c r="E335">
        <v>3.4</v>
      </c>
      <c r="F335" t="s">
        <v>796</v>
      </c>
      <c r="G335" t="s">
        <v>152</v>
      </c>
      <c r="H335" t="s">
        <v>153</v>
      </c>
      <c r="I335" t="s">
        <v>154</v>
      </c>
      <c r="J335" t="s">
        <v>155</v>
      </c>
      <c r="K335" t="s">
        <v>56</v>
      </c>
      <c r="L335">
        <v>1000</v>
      </c>
      <c r="M335">
        <v>-1</v>
      </c>
      <c r="N335" t="s">
        <v>31</v>
      </c>
      <c r="O335" t="s">
        <v>39</v>
      </c>
      <c r="P335">
        <v>-1</v>
      </c>
      <c r="Q335" t="s">
        <v>27</v>
      </c>
      <c r="R335" t="s">
        <v>39</v>
      </c>
    </row>
    <row r="336" spans="1:18">
      <c r="A336">
        <v>336</v>
      </c>
      <c r="B336" t="s">
        <v>18</v>
      </c>
      <c r="C336">
        <v>79</v>
      </c>
      <c r="D336">
        <v>147</v>
      </c>
      <c r="E336">
        <v>3.3</v>
      </c>
      <c r="F336" t="s">
        <v>797</v>
      </c>
      <c r="G336" t="s">
        <v>798</v>
      </c>
      <c r="H336" t="s">
        <v>259</v>
      </c>
      <c r="I336" t="s">
        <v>260</v>
      </c>
      <c r="J336" t="s">
        <v>799</v>
      </c>
      <c r="K336" t="s">
        <v>85</v>
      </c>
      <c r="M336">
        <v>1880</v>
      </c>
      <c r="N336" t="s">
        <v>800</v>
      </c>
      <c r="O336" t="s">
        <v>801</v>
      </c>
      <c r="P336" t="s">
        <v>802</v>
      </c>
      <c r="Q336" t="s">
        <v>52</v>
      </c>
      <c r="R336" t="s">
        <v>803</v>
      </c>
    </row>
    <row r="337" spans="1:18">
      <c r="A337">
        <v>337</v>
      </c>
      <c r="B337" t="s">
        <v>18</v>
      </c>
      <c r="C337">
        <v>79</v>
      </c>
      <c r="D337">
        <v>147</v>
      </c>
      <c r="E337">
        <v>4.5999999999999996</v>
      </c>
      <c r="F337" t="s">
        <v>804</v>
      </c>
      <c r="G337" t="s">
        <v>367</v>
      </c>
      <c r="H337" t="s">
        <v>46</v>
      </c>
      <c r="I337" t="s">
        <v>47</v>
      </c>
      <c r="J337" t="s">
        <v>66</v>
      </c>
      <c r="K337" t="s">
        <v>56</v>
      </c>
      <c r="L337">
        <v>1000</v>
      </c>
      <c r="M337">
        <v>1999</v>
      </c>
      <c r="N337" t="s">
        <v>31</v>
      </c>
      <c r="O337" t="s">
        <v>96</v>
      </c>
      <c r="P337" t="s">
        <v>96</v>
      </c>
      <c r="Q337" t="s">
        <v>42</v>
      </c>
      <c r="R337" t="s">
        <v>805</v>
      </c>
    </row>
    <row r="338" spans="1:18">
      <c r="A338">
        <v>338</v>
      </c>
      <c r="B338" t="s">
        <v>18</v>
      </c>
      <c r="C338">
        <v>79</v>
      </c>
      <c r="D338">
        <v>147</v>
      </c>
      <c r="E338">
        <v>-1</v>
      </c>
      <c r="F338" t="s">
        <v>806</v>
      </c>
      <c r="G338" t="s">
        <v>129</v>
      </c>
      <c r="H338" t="s">
        <v>120</v>
      </c>
      <c r="I338" t="s">
        <v>121</v>
      </c>
      <c r="J338" t="s">
        <v>807</v>
      </c>
      <c r="K338" t="s">
        <v>67</v>
      </c>
      <c r="L338">
        <v>50</v>
      </c>
      <c r="M338">
        <v>-1</v>
      </c>
      <c r="N338" t="s">
        <v>31</v>
      </c>
      <c r="O338" t="s">
        <v>39</v>
      </c>
      <c r="P338">
        <v>-1</v>
      </c>
      <c r="Q338" t="s">
        <v>378</v>
      </c>
      <c r="R338" t="s">
        <v>39</v>
      </c>
    </row>
    <row r="339" spans="1:18">
      <c r="A339">
        <v>339</v>
      </c>
      <c r="B339" t="s">
        <v>103</v>
      </c>
      <c r="C339">
        <v>79</v>
      </c>
      <c r="D339">
        <v>147</v>
      </c>
      <c r="E339">
        <v>2.6</v>
      </c>
      <c r="F339" t="s">
        <v>808</v>
      </c>
      <c r="G339" t="s">
        <v>701</v>
      </c>
      <c r="H339" t="s">
        <v>221</v>
      </c>
      <c r="I339" t="s">
        <v>222</v>
      </c>
      <c r="J339" t="s">
        <v>702</v>
      </c>
      <c r="K339" t="s">
        <v>56</v>
      </c>
      <c r="L339">
        <v>1000</v>
      </c>
      <c r="M339">
        <v>1984</v>
      </c>
      <c r="N339" t="s">
        <v>809</v>
      </c>
      <c r="O339" t="s">
        <v>810</v>
      </c>
      <c r="P339" t="s">
        <v>811</v>
      </c>
      <c r="Q339" t="s">
        <v>27</v>
      </c>
      <c r="R339" t="s">
        <v>39</v>
      </c>
    </row>
    <row r="340" spans="1:18">
      <c r="A340">
        <v>340</v>
      </c>
      <c r="B340" t="s">
        <v>99</v>
      </c>
      <c r="C340">
        <v>79</v>
      </c>
      <c r="D340">
        <v>147</v>
      </c>
      <c r="E340">
        <v>3.8</v>
      </c>
      <c r="F340" t="s">
        <v>281</v>
      </c>
      <c r="G340" t="s">
        <v>282</v>
      </c>
      <c r="H340" t="s">
        <v>120</v>
      </c>
      <c r="I340" t="s">
        <v>121</v>
      </c>
      <c r="J340" t="s">
        <v>283</v>
      </c>
      <c r="K340" t="s">
        <v>106</v>
      </c>
      <c r="L340">
        <v>500</v>
      </c>
      <c r="M340">
        <v>1986</v>
      </c>
      <c r="N340" t="s">
        <v>284</v>
      </c>
      <c r="O340" t="s">
        <v>285</v>
      </c>
      <c r="P340" t="s">
        <v>80</v>
      </c>
      <c r="Q340" t="s">
        <v>42</v>
      </c>
      <c r="R340" t="s">
        <v>286</v>
      </c>
    </row>
    <row r="341" spans="1:18">
      <c r="A341">
        <v>341</v>
      </c>
      <c r="B341" t="s">
        <v>18</v>
      </c>
      <c r="C341">
        <v>79</v>
      </c>
      <c r="D341">
        <v>147</v>
      </c>
      <c r="E341">
        <v>4.8</v>
      </c>
      <c r="F341" t="s">
        <v>812</v>
      </c>
      <c r="G341" t="s">
        <v>20</v>
      </c>
      <c r="H341" t="s">
        <v>21</v>
      </c>
      <c r="I341" t="s">
        <v>20</v>
      </c>
      <c r="J341" t="s">
        <v>813</v>
      </c>
      <c r="K341" t="s">
        <v>67</v>
      </c>
      <c r="L341">
        <v>50</v>
      </c>
      <c r="M341">
        <v>2011</v>
      </c>
      <c r="N341" t="s">
        <v>31</v>
      </c>
      <c r="O341" t="s">
        <v>98</v>
      </c>
      <c r="P341" t="s">
        <v>38</v>
      </c>
      <c r="Q341" t="s">
        <v>27</v>
      </c>
      <c r="R341" t="s">
        <v>39</v>
      </c>
    </row>
    <row r="342" spans="1:18">
      <c r="A342">
        <v>342</v>
      </c>
      <c r="B342" t="s">
        <v>112</v>
      </c>
      <c r="C342">
        <v>79</v>
      </c>
      <c r="D342">
        <v>147</v>
      </c>
      <c r="E342">
        <v>3.9</v>
      </c>
      <c r="F342" t="s">
        <v>814</v>
      </c>
      <c r="G342" t="s">
        <v>20</v>
      </c>
      <c r="H342" t="s">
        <v>21</v>
      </c>
      <c r="I342" t="s">
        <v>20</v>
      </c>
      <c r="J342" t="s">
        <v>22</v>
      </c>
      <c r="K342" t="s">
        <v>30</v>
      </c>
      <c r="L342">
        <v>200</v>
      </c>
      <c r="M342">
        <v>2012</v>
      </c>
      <c r="N342" t="s">
        <v>31</v>
      </c>
      <c r="O342" t="s">
        <v>51</v>
      </c>
      <c r="P342" t="s">
        <v>33</v>
      </c>
      <c r="Q342" t="s">
        <v>27</v>
      </c>
      <c r="R342" t="s">
        <v>39</v>
      </c>
    </row>
    <row r="343" spans="1:18">
      <c r="A343">
        <v>343</v>
      </c>
      <c r="B343" t="s">
        <v>18</v>
      </c>
      <c r="C343">
        <v>122</v>
      </c>
      <c r="D343">
        <v>146</v>
      </c>
      <c r="E343">
        <v>4</v>
      </c>
      <c r="F343" t="s">
        <v>247</v>
      </c>
      <c r="G343" t="s">
        <v>292</v>
      </c>
      <c r="H343" t="s">
        <v>120</v>
      </c>
      <c r="I343" t="s">
        <v>121</v>
      </c>
      <c r="J343" t="s">
        <v>248</v>
      </c>
      <c r="K343" t="s">
        <v>56</v>
      </c>
      <c r="L343">
        <v>1000</v>
      </c>
      <c r="M343">
        <v>2012</v>
      </c>
      <c r="N343" t="s">
        <v>31</v>
      </c>
      <c r="O343" t="s">
        <v>57</v>
      </c>
      <c r="P343" t="s">
        <v>38</v>
      </c>
      <c r="Q343" t="s">
        <v>27</v>
      </c>
      <c r="R343" t="s">
        <v>249</v>
      </c>
    </row>
    <row r="344" spans="1:18">
      <c r="A344">
        <v>344</v>
      </c>
      <c r="B344" t="s">
        <v>18</v>
      </c>
      <c r="C344">
        <v>122</v>
      </c>
      <c r="D344">
        <v>146</v>
      </c>
      <c r="E344">
        <v>4.2</v>
      </c>
      <c r="F344" t="s">
        <v>137</v>
      </c>
      <c r="G344" t="s">
        <v>138</v>
      </c>
      <c r="H344" t="s">
        <v>120</v>
      </c>
      <c r="I344" t="s">
        <v>121</v>
      </c>
      <c r="J344" t="s">
        <v>139</v>
      </c>
      <c r="K344" t="s">
        <v>30</v>
      </c>
      <c r="L344">
        <v>200</v>
      </c>
      <c r="M344">
        <v>2013</v>
      </c>
      <c r="N344" t="s">
        <v>31</v>
      </c>
      <c r="O344" t="s">
        <v>57</v>
      </c>
      <c r="P344" t="s">
        <v>38</v>
      </c>
      <c r="Q344" t="s">
        <v>140</v>
      </c>
      <c r="R344" t="s">
        <v>39</v>
      </c>
    </row>
    <row r="345" spans="1:18">
      <c r="A345">
        <v>345</v>
      </c>
      <c r="B345" t="s">
        <v>112</v>
      </c>
      <c r="C345">
        <v>122</v>
      </c>
      <c r="D345">
        <v>146</v>
      </c>
      <c r="E345">
        <v>3.7</v>
      </c>
      <c r="F345" t="s">
        <v>576</v>
      </c>
      <c r="G345" t="s">
        <v>577</v>
      </c>
      <c r="H345" t="s">
        <v>578</v>
      </c>
      <c r="I345" t="s">
        <v>579</v>
      </c>
      <c r="J345" t="s">
        <v>580</v>
      </c>
      <c r="K345" t="s">
        <v>23</v>
      </c>
      <c r="L345">
        <v>5000</v>
      </c>
      <c r="M345">
        <v>1999</v>
      </c>
      <c r="N345" t="s">
        <v>50</v>
      </c>
      <c r="O345" t="s">
        <v>581</v>
      </c>
      <c r="P345" t="s">
        <v>80</v>
      </c>
      <c r="Q345" t="s">
        <v>42</v>
      </c>
      <c r="R345" t="s">
        <v>39</v>
      </c>
    </row>
    <row r="346" spans="1:18">
      <c r="A346">
        <v>346</v>
      </c>
      <c r="B346" t="s">
        <v>18</v>
      </c>
      <c r="C346">
        <v>122</v>
      </c>
      <c r="D346">
        <v>146</v>
      </c>
      <c r="E346">
        <v>3</v>
      </c>
      <c r="F346" t="s">
        <v>815</v>
      </c>
      <c r="G346" t="s">
        <v>521</v>
      </c>
      <c r="H346" t="s">
        <v>259</v>
      </c>
      <c r="I346" t="s">
        <v>260</v>
      </c>
      <c r="J346" t="s">
        <v>236</v>
      </c>
      <c r="K346" t="s">
        <v>23</v>
      </c>
      <c r="L346">
        <v>5000</v>
      </c>
      <c r="M346">
        <v>1887</v>
      </c>
      <c r="N346" t="s">
        <v>31</v>
      </c>
      <c r="O346" t="s">
        <v>276</v>
      </c>
      <c r="P346" t="s">
        <v>26</v>
      </c>
      <c r="Q346" t="s">
        <v>126</v>
      </c>
      <c r="R346" t="s">
        <v>39</v>
      </c>
    </row>
    <row r="347" spans="1:18">
      <c r="A347">
        <v>347</v>
      </c>
      <c r="B347" t="s">
        <v>195</v>
      </c>
      <c r="C347">
        <v>122</v>
      </c>
      <c r="D347">
        <v>146</v>
      </c>
      <c r="E347">
        <v>3.5</v>
      </c>
      <c r="F347" t="s">
        <v>816</v>
      </c>
      <c r="G347" t="s">
        <v>678</v>
      </c>
      <c r="H347" t="s">
        <v>120</v>
      </c>
      <c r="I347" t="s">
        <v>121</v>
      </c>
      <c r="J347" t="s">
        <v>549</v>
      </c>
      <c r="K347" t="s">
        <v>85</v>
      </c>
      <c r="M347">
        <v>1970</v>
      </c>
      <c r="N347" t="s">
        <v>50</v>
      </c>
      <c r="O347" t="s">
        <v>37</v>
      </c>
      <c r="P347" t="s">
        <v>38</v>
      </c>
      <c r="Q347" t="s">
        <v>87</v>
      </c>
      <c r="R347" t="s">
        <v>817</v>
      </c>
    </row>
    <row r="348" spans="1:18">
      <c r="A348">
        <v>348</v>
      </c>
      <c r="B348" t="s">
        <v>18</v>
      </c>
      <c r="C348">
        <v>122</v>
      </c>
      <c r="D348">
        <v>146</v>
      </c>
      <c r="E348">
        <v>2.9</v>
      </c>
      <c r="F348" t="s">
        <v>818</v>
      </c>
      <c r="G348" t="s">
        <v>292</v>
      </c>
      <c r="H348" t="s">
        <v>120</v>
      </c>
      <c r="I348" t="s">
        <v>121</v>
      </c>
      <c r="J348" t="s">
        <v>819</v>
      </c>
      <c r="K348" t="s">
        <v>67</v>
      </c>
      <c r="L348">
        <v>50</v>
      </c>
      <c r="M348">
        <v>-1</v>
      </c>
      <c r="N348" t="s">
        <v>31</v>
      </c>
      <c r="O348" t="s">
        <v>39</v>
      </c>
      <c r="P348">
        <v>-1</v>
      </c>
      <c r="Q348" t="s">
        <v>68</v>
      </c>
      <c r="R348" t="s">
        <v>39</v>
      </c>
    </row>
    <row r="349" spans="1:18">
      <c r="A349">
        <v>349</v>
      </c>
      <c r="B349" t="s">
        <v>18</v>
      </c>
      <c r="C349">
        <v>122</v>
      </c>
      <c r="D349">
        <v>146</v>
      </c>
      <c r="E349">
        <v>5</v>
      </c>
      <c r="F349" t="s">
        <v>820</v>
      </c>
      <c r="G349" t="s">
        <v>20</v>
      </c>
      <c r="H349" t="s">
        <v>21</v>
      </c>
      <c r="I349" t="s">
        <v>20</v>
      </c>
      <c r="J349" t="s">
        <v>22</v>
      </c>
      <c r="K349" t="s">
        <v>67</v>
      </c>
      <c r="L349">
        <v>50</v>
      </c>
      <c r="M349">
        <v>2014</v>
      </c>
      <c r="N349" t="s">
        <v>31</v>
      </c>
      <c r="O349" t="s">
        <v>270</v>
      </c>
      <c r="P349" t="s">
        <v>33</v>
      </c>
      <c r="Q349" t="s">
        <v>27</v>
      </c>
      <c r="R349" t="s">
        <v>39</v>
      </c>
    </row>
    <row r="350" spans="1:18">
      <c r="A350">
        <v>350</v>
      </c>
      <c r="B350" t="s">
        <v>18</v>
      </c>
      <c r="C350">
        <v>122</v>
      </c>
      <c r="D350">
        <v>146</v>
      </c>
      <c r="E350">
        <v>4.7</v>
      </c>
      <c r="F350" t="s">
        <v>821</v>
      </c>
      <c r="G350" t="s">
        <v>45</v>
      </c>
      <c r="H350" t="s">
        <v>46</v>
      </c>
      <c r="I350" t="s">
        <v>47</v>
      </c>
      <c r="J350" t="s">
        <v>413</v>
      </c>
      <c r="K350" t="s">
        <v>106</v>
      </c>
      <c r="L350">
        <v>500</v>
      </c>
      <c r="M350">
        <v>2002</v>
      </c>
      <c r="N350" t="s">
        <v>284</v>
      </c>
      <c r="O350" t="s">
        <v>37</v>
      </c>
      <c r="P350" t="s">
        <v>38</v>
      </c>
      <c r="Q350" t="s">
        <v>42</v>
      </c>
      <c r="R350" t="s">
        <v>822</v>
      </c>
    </row>
    <row r="351" spans="1:18">
      <c r="A351">
        <v>352</v>
      </c>
      <c r="B351" t="s">
        <v>112</v>
      </c>
      <c r="C351">
        <v>122</v>
      </c>
      <c r="D351">
        <v>146</v>
      </c>
      <c r="E351">
        <v>4.5</v>
      </c>
      <c r="F351" t="s">
        <v>823</v>
      </c>
      <c r="G351" t="s">
        <v>824</v>
      </c>
      <c r="H351" t="s">
        <v>331</v>
      </c>
      <c r="I351" t="s">
        <v>332</v>
      </c>
      <c r="J351" t="s">
        <v>825</v>
      </c>
      <c r="K351" t="s">
        <v>49</v>
      </c>
      <c r="L351">
        <v>10000</v>
      </c>
      <c r="M351">
        <v>1942</v>
      </c>
      <c r="N351" t="s">
        <v>24</v>
      </c>
      <c r="O351" t="s">
        <v>96</v>
      </c>
      <c r="P351" t="s">
        <v>96</v>
      </c>
      <c r="Q351" t="s">
        <v>52</v>
      </c>
      <c r="R351" t="s">
        <v>826</v>
      </c>
    </row>
    <row r="352" spans="1:18">
      <c r="A352">
        <v>353</v>
      </c>
      <c r="B352" t="s">
        <v>18</v>
      </c>
      <c r="C352">
        <v>122</v>
      </c>
      <c r="D352">
        <v>146</v>
      </c>
      <c r="E352">
        <v>4.9000000000000004</v>
      </c>
      <c r="F352" t="s">
        <v>827</v>
      </c>
      <c r="G352" t="s">
        <v>83</v>
      </c>
      <c r="H352" t="s">
        <v>71</v>
      </c>
      <c r="I352" t="s">
        <v>72</v>
      </c>
      <c r="J352" t="s">
        <v>108</v>
      </c>
      <c r="K352" t="s">
        <v>67</v>
      </c>
      <c r="L352">
        <v>50</v>
      </c>
      <c r="M352">
        <v>2010</v>
      </c>
      <c r="N352" t="s">
        <v>31</v>
      </c>
      <c r="O352" t="s">
        <v>57</v>
      </c>
      <c r="P352" t="s">
        <v>38</v>
      </c>
      <c r="Q352" t="s">
        <v>27</v>
      </c>
      <c r="R352" t="s">
        <v>39</v>
      </c>
    </row>
    <row r="353" spans="1:18">
      <c r="A353">
        <v>354</v>
      </c>
      <c r="B353" t="s">
        <v>195</v>
      </c>
      <c r="C353">
        <v>122</v>
      </c>
      <c r="D353">
        <v>146</v>
      </c>
      <c r="E353">
        <v>4.5999999999999996</v>
      </c>
      <c r="F353" t="s">
        <v>828</v>
      </c>
      <c r="G353" t="s">
        <v>479</v>
      </c>
      <c r="H353" t="s">
        <v>331</v>
      </c>
      <c r="I353" t="s">
        <v>332</v>
      </c>
      <c r="J353" t="s">
        <v>829</v>
      </c>
      <c r="K353" t="s">
        <v>30</v>
      </c>
      <c r="L353">
        <v>200</v>
      </c>
      <c r="M353">
        <v>2002</v>
      </c>
      <c r="N353" t="s">
        <v>31</v>
      </c>
      <c r="O353" t="s">
        <v>75</v>
      </c>
      <c r="P353" t="s">
        <v>33</v>
      </c>
      <c r="Q353" t="s">
        <v>27</v>
      </c>
      <c r="R353" t="s">
        <v>39</v>
      </c>
    </row>
    <row r="354" spans="1:18">
      <c r="A354">
        <v>355</v>
      </c>
      <c r="B354" t="s">
        <v>18</v>
      </c>
      <c r="C354">
        <v>122</v>
      </c>
      <c r="D354">
        <v>146</v>
      </c>
      <c r="E354">
        <v>5</v>
      </c>
      <c r="F354" t="s">
        <v>588</v>
      </c>
      <c r="G354" t="s">
        <v>412</v>
      </c>
      <c r="H354" t="s">
        <v>331</v>
      </c>
      <c r="I354" t="s">
        <v>332</v>
      </c>
      <c r="J354" t="s">
        <v>589</v>
      </c>
      <c r="K354" t="s">
        <v>67</v>
      </c>
      <c r="L354">
        <v>50</v>
      </c>
      <c r="M354">
        <v>2011</v>
      </c>
      <c r="N354" t="s">
        <v>31</v>
      </c>
      <c r="O354" t="s">
        <v>98</v>
      </c>
      <c r="P354" t="s">
        <v>38</v>
      </c>
      <c r="Q354" t="s">
        <v>68</v>
      </c>
      <c r="R354" t="s">
        <v>39</v>
      </c>
    </row>
    <row r="355" spans="1:18">
      <c r="A355">
        <v>356</v>
      </c>
      <c r="B355" t="s">
        <v>99</v>
      </c>
      <c r="C355">
        <v>122</v>
      </c>
      <c r="D355">
        <v>146</v>
      </c>
      <c r="E355">
        <v>3.9</v>
      </c>
      <c r="F355" t="s">
        <v>830</v>
      </c>
      <c r="G355" t="s">
        <v>831</v>
      </c>
      <c r="H355" t="s">
        <v>46</v>
      </c>
      <c r="I355" t="s">
        <v>47</v>
      </c>
      <c r="J355" t="s">
        <v>251</v>
      </c>
      <c r="K355" t="s">
        <v>30</v>
      </c>
      <c r="L355">
        <v>200</v>
      </c>
      <c r="M355">
        <v>2012</v>
      </c>
      <c r="N355" t="s">
        <v>50</v>
      </c>
      <c r="O355" t="s">
        <v>75</v>
      </c>
      <c r="P355" t="s">
        <v>33</v>
      </c>
      <c r="Q355" t="s">
        <v>68</v>
      </c>
      <c r="R355" t="s">
        <v>39</v>
      </c>
    </row>
    <row r="356" spans="1:18">
      <c r="A356">
        <v>363</v>
      </c>
      <c r="B356" t="s">
        <v>18</v>
      </c>
      <c r="C356">
        <v>122</v>
      </c>
      <c r="D356">
        <v>146</v>
      </c>
      <c r="E356">
        <v>3.5</v>
      </c>
      <c r="F356" t="s">
        <v>403</v>
      </c>
      <c r="G356" t="s">
        <v>54</v>
      </c>
      <c r="H356" t="s">
        <v>46</v>
      </c>
      <c r="I356" t="s">
        <v>47</v>
      </c>
      <c r="J356" t="s">
        <v>404</v>
      </c>
      <c r="K356" t="s">
        <v>49</v>
      </c>
      <c r="L356">
        <v>10000</v>
      </c>
      <c r="M356">
        <v>-1</v>
      </c>
      <c r="N356" t="s">
        <v>50</v>
      </c>
      <c r="O356" t="s">
        <v>96</v>
      </c>
      <c r="P356" t="s">
        <v>96</v>
      </c>
      <c r="Q356" t="s">
        <v>126</v>
      </c>
      <c r="R356" t="s">
        <v>39</v>
      </c>
    </row>
    <row r="357" spans="1:18">
      <c r="A357">
        <v>364</v>
      </c>
      <c r="B357" t="s">
        <v>18</v>
      </c>
      <c r="C357">
        <v>112</v>
      </c>
      <c r="D357">
        <v>116</v>
      </c>
      <c r="E357">
        <v>4.3</v>
      </c>
      <c r="F357" t="s">
        <v>107</v>
      </c>
      <c r="G357" t="s">
        <v>83</v>
      </c>
      <c r="H357" t="s">
        <v>71</v>
      </c>
      <c r="I357" t="s">
        <v>72</v>
      </c>
      <c r="J357" t="s">
        <v>108</v>
      </c>
      <c r="K357" t="s">
        <v>106</v>
      </c>
      <c r="L357">
        <v>500</v>
      </c>
      <c r="M357">
        <v>1999</v>
      </c>
      <c r="N357" t="s">
        <v>31</v>
      </c>
      <c r="O357" t="s">
        <v>57</v>
      </c>
      <c r="P357" t="s">
        <v>38</v>
      </c>
      <c r="Q357" t="s">
        <v>27</v>
      </c>
      <c r="R357" t="s">
        <v>39</v>
      </c>
    </row>
    <row r="358" spans="1:18">
      <c r="A358">
        <v>365</v>
      </c>
      <c r="B358" t="s">
        <v>18</v>
      </c>
      <c r="C358">
        <v>112</v>
      </c>
      <c r="D358">
        <v>116</v>
      </c>
      <c r="E358">
        <v>3.7</v>
      </c>
      <c r="F358" t="s">
        <v>109</v>
      </c>
      <c r="G358" t="s">
        <v>83</v>
      </c>
      <c r="H358" t="s">
        <v>71</v>
      </c>
      <c r="I358" t="s">
        <v>72</v>
      </c>
      <c r="J358" t="s">
        <v>110</v>
      </c>
      <c r="K358" t="s">
        <v>85</v>
      </c>
      <c r="M358">
        <v>1781</v>
      </c>
      <c r="N358" t="s">
        <v>50</v>
      </c>
      <c r="O358" t="s">
        <v>86</v>
      </c>
      <c r="P358" t="s">
        <v>86</v>
      </c>
      <c r="Q358" t="s">
        <v>87</v>
      </c>
      <c r="R358" t="s">
        <v>111</v>
      </c>
    </row>
    <row r="359" spans="1:18">
      <c r="A359">
        <v>366</v>
      </c>
      <c r="B359" t="s">
        <v>18</v>
      </c>
      <c r="C359">
        <v>112</v>
      </c>
      <c r="D359">
        <v>116</v>
      </c>
      <c r="E359">
        <v>3.5</v>
      </c>
      <c r="F359" t="s">
        <v>403</v>
      </c>
      <c r="G359" t="s">
        <v>54</v>
      </c>
      <c r="H359" t="s">
        <v>46</v>
      </c>
      <c r="I359" t="s">
        <v>47</v>
      </c>
      <c r="J359" t="s">
        <v>404</v>
      </c>
      <c r="K359" t="s">
        <v>49</v>
      </c>
      <c r="L359">
        <v>10000</v>
      </c>
      <c r="M359">
        <v>-1</v>
      </c>
      <c r="N359" t="s">
        <v>50</v>
      </c>
      <c r="O359" t="s">
        <v>96</v>
      </c>
      <c r="P359" t="s">
        <v>96</v>
      </c>
      <c r="Q359" t="s">
        <v>126</v>
      </c>
      <c r="R359" t="s">
        <v>39</v>
      </c>
    </row>
    <row r="360" spans="1:18">
      <c r="A360">
        <v>367</v>
      </c>
      <c r="B360" t="s">
        <v>112</v>
      </c>
      <c r="C360">
        <v>112</v>
      </c>
      <c r="D360">
        <v>116</v>
      </c>
      <c r="E360">
        <v>3.9</v>
      </c>
      <c r="F360" t="s">
        <v>593</v>
      </c>
      <c r="G360" t="s">
        <v>594</v>
      </c>
      <c r="H360" t="s">
        <v>584</v>
      </c>
      <c r="I360" t="s">
        <v>585</v>
      </c>
      <c r="J360" t="s">
        <v>595</v>
      </c>
      <c r="K360" t="s">
        <v>23</v>
      </c>
      <c r="L360">
        <v>5000</v>
      </c>
      <c r="M360">
        <v>1947</v>
      </c>
      <c r="N360" t="s">
        <v>24</v>
      </c>
      <c r="O360" t="s">
        <v>51</v>
      </c>
      <c r="P360" t="s">
        <v>33</v>
      </c>
      <c r="Q360" t="s">
        <v>183</v>
      </c>
      <c r="R360" t="s">
        <v>596</v>
      </c>
    </row>
    <row r="361" spans="1:18">
      <c r="A361">
        <v>368</v>
      </c>
      <c r="B361" t="s">
        <v>18</v>
      </c>
      <c r="C361">
        <v>112</v>
      </c>
      <c r="D361">
        <v>116</v>
      </c>
      <c r="E361">
        <v>4.7</v>
      </c>
      <c r="F361" t="s">
        <v>832</v>
      </c>
      <c r="G361" t="s">
        <v>833</v>
      </c>
      <c r="H361" t="s">
        <v>120</v>
      </c>
      <c r="I361" t="s">
        <v>121</v>
      </c>
      <c r="J361" t="s">
        <v>834</v>
      </c>
      <c r="K361" t="s">
        <v>30</v>
      </c>
      <c r="L361">
        <v>200</v>
      </c>
      <c r="M361">
        <v>2008</v>
      </c>
      <c r="N361" t="s">
        <v>31</v>
      </c>
      <c r="O361" t="s">
        <v>75</v>
      </c>
      <c r="P361" t="s">
        <v>33</v>
      </c>
      <c r="Q361" t="s">
        <v>27</v>
      </c>
      <c r="R361" t="s">
        <v>39</v>
      </c>
    </row>
    <row r="362" spans="1:18">
      <c r="A362">
        <v>369</v>
      </c>
      <c r="B362" t="s">
        <v>112</v>
      </c>
      <c r="C362">
        <v>112</v>
      </c>
      <c r="D362">
        <v>116</v>
      </c>
      <c r="E362">
        <v>4.8</v>
      </c>
      <c r="F362" t="s">
        <v>105</v>
      </c>
      <c r="G362" t="s">
        <v>70</v>
      </c>
      <c r="H362" t="s">
        <v>71</v>
      </c>
      <c r="I362" t="s">
        <v>72</v>
      </c>
      <c r="J362" t="s">
        <v>73</v>
      </c>
      <c r="K362" t="s">
        <v>106</v>
      </c>
      <c r="L362">
        <v>500</v>
      </c>
      <c r="M362">
        <v>2012</v>
      </c>
      <c r="N362" t="s">
        <v>31</v>
      </c>
      <c r="O362" t="s">
        <v>37</v>
      </c>
      <c r="P362" t="s">
        <v>38</v>
      </c>
      <c r="Q362" t="s">
        <v>27</v>
      </c>
      <c r="R362" t="s">
        <v>39</v>
      </c>
    </row>
    <row r="363" spans="1:18">
      <c r="A363">
        <v>370</v>
      </c>
      <c r="B363" t="s">
        <v>18</v>
      </c>
      <c r="C363">
        <v>112</v>
      </c>
      <c r="D363">
        <v>116</v>
      </c>
      <c r="E363">
        <v>4</v>
      </c>
      <c r="F363" t="s">
        <v>329</v>
      </c>
      <c r="G363" t="s">
        <v>330</v>
      </c>
      <c r="H363" t="s">
        <v>331</v>
      </c>
      <c r="I363" t="s">
        <v>332</v>
      </c>
      <c r="J363" t="s">
        <v>333</v>
      </c>
      <c r="K363" t="s">
        <v>85</v>
      </c>
      <c r="M363">
        <v>1913</v>
      </c>
      <c r="N363" t="s">
        <v>50</v>
      </c>
      <c r="O363" t="s">
        <v>86</v>
      </c>
      <c r="P363" t="s">
        <v>86</v>
      </c>
      <c r="Q363" t="s">
        <v>87</v>
      </c>
      <c r="R363" t="s">
        <v>334</v>
      </c>
    </row>
    <row r="364" spans="1:18">
      <c r="A364">
        <v>371</v>
      </c>
      <c r="B364" t="s">
        <v>18</v>
      </c>
      <c r="C364">
        <v>112</v>
      </c>
      <c r="D364">
        <v>116</v>
      </c>
      <c r="E364">
        <v>4.4000000000000004</v>
      </c>
      <c r="F364" t="s">
        <v>835</v>
      </c>
      <c r="G364" t="s">
        <v>836</v>
      </c>
      <c r="H364" t="s">
        <v>244</v>
      </c>
      <c r="I364" t="s">
        <v>245</v>
      </c>
      <c r="J364" t="s">
        <v>837</v>
      </c>
      <c r="K364" t="s">
        <v>30</v>
      </c>
      <c r="L364">
        <v>200</v>
      </c>
      <c r="M364">
        <v>-1</v>
      </c>
      <c r="N364" t="s">
        <v>31</v>
      </c>
      <c r="O364" t="s">
        <v>39</v>
      </c>
      <c r="P364">
        <v>-1</v>
      </c>
      <c r="Q364" t="s">
        <v>27</v>
      </c>
      <c r="R364" t="s">
        <v>39</v>
      </c>
    </row>
    <row r="365" spans="1:18">
      <c r="A365">
        <v>372</v>
      </c>
      <c r="B365" t="s">
        <v>18</v>
      </c>
      <c r="C365">
        <v>112</v>
      </c>
      <c r="D365">
        <v>116</v>
      </c>
      <c r="E365">
        <v>3.2</v>
      </c>
      <c r="F365" t="s">
        <v>838</v>
      </c>
      <c r="G365" t="s">
        <v>839</v>
      </c>
      <c r="H365" t="s">
        <v>331</v>
      </c>
      <c r="I365" t="s">
        <v>332</v>
      </c>
      <c r="J365" t="s">
        <v>66</v>
      </c>
      <c r="K365" t="s">
        <v>85</v>
      </c>
      <c r="M365">
        <v>2018</v>
      </c>
      <c r="N365" t="s">
        <v>50</v>
      </c>
      <c r="O365" t="s">
        <v>96</v>
      </c>
      <c r="P365" t="s">
        <v>96</v>
      </c>
      <c r="Q365" t="s">
        <v>27</v>
      </c>
      <c r="R365" t="s">
        <v>39</v>
      </c>
    </row>
    <row r="366" spans="1:18">
      <c r="A366">
        <v>373</v>
      </c>
      <c r="B366" t="s">
        <v>18</v>
      </c>
      <c r="C366">
        <v>112</v>
      </c>
      <c r="D366">
        <v>116</v>
      </c>
      <c r="E366">
        <v>4.5</v>
      </c>
      <c r="F366" t="s">
        <v>840</v>
      </c>
      <c r="G366" t="s">
        <v>145</v>
      </c>
      <c r="H366" t="s">
        <v>146</v>
      </c>
      <c r="I366" t="s">
        <v>147</v>
      </c>
      <c r="J366" t="s">
        <v>841</v>
      </c>
      <c r="K366" t="s">
        <v>67</v>
      </c>
      <c r="L366">
        <v>50</v>
      </c>
      <c r="M366">
        <v>1980</v>
      </c>
      <c r="N366" t="s">
        <v>31</v>
      </c>
      <c r="O366" t="s">
        <v>270</v>
      </c>
      <c r="P366" t="s">
        <v>33</v>
      </c>
      <c r="Q366" t="s">
        <v>27</v>
      </c>
      <c r="R366" t="s">
        <v>842</v>
      </c>
    </row>
    <row r="367" spans="1:18">
      <c r="A367">
        <v>374</v>
      </c>
      <c r="B367" t="s">
        <v>103</v>
      </c>
      <c r="C367">
        <v>112</v>
      </c>
      <c r="D367">
        <v>116</v>
      </c>
      <c r="E367">
        <v>3.5</v>
      </c>
      <c r="F367" t="s">
        <v>843</v>
      </c>
      <c r="G367" t="s">
        <v>844</v>
      </c>
      <c r="H367" t="s">
        <v>179</v>
      </c>
      <c r="I367" t="s">
        <v>145</v>
      </c>
      <c r="J367" t="s">
        <v>197</v>
      </c>
      <c r="K367" t="s">
        <v>106</v>
      </c>
      <c r="L367">
        <v>500</v>
      </c>
      <c r="M367">
        <v>2003</v>
      </c>
      <c r="N367" t="s">
        <v>24</v>
      </c>
      <c r="O367" t="s">
        <v>51</v>
      </c>
      <c r="P367" t="s">
        <v>33</v>
      </c>
      <c r="Q367" t="s">
        <v>42</v>
      </c>
      <c r="R367" t="s">
        <v>39</v>
      </c>
    </row>
    <row r="368" spans="1:18">
      <c r="A368">
        <v>375</v>
      </c>
      <c r="B368" t="s">
        <v>18</v>
      </c>
      <c r="C368">
        <v>112</v>
      </c>
      <c r="D368">
        <v>116</v>
      </c>
      <c r="E368">
        <v>4.4000000000000004</v>
      </c>
      <c r="F368" t="s">
        <v>845</v>
      </c>
      <c r="G368" t="s">
        <v>213</v>
      </c>
      <c r="H368" t="s">
        <v>214</v>
      </c>
      <c r="I368" t="s">
        <v>215</v>
      </c>
      <c r="J368" t="s">
        <v>846</v>
      </c>
      <c r="K368" t="s">
        <v>23</v>
      </c>
      <c r="L368">
        <v>5000</v>
      </c>
      <c r="M368">
        <v>1989</v>
      </c>
      <c r="N368" t="s">
        <v>31</v>
      </c>
      <c r="O368" t="s">
        <v>270</v>
      </c>
      <c r="P368" t="s">
        <v>33</v>
      </c>
      <c r="Q368" t="s">
        <v>42</v>
      </c>
      <c r="R368" t="s">
        <v>847</v>
      </c>
    </row>
    <row r="369" spans="1:18">
      <c r="A369">
        <v>376</v>
      </c>
      <c r="B369" t="s">
        <v>18</v>
      </c>
      <c r="C369">
        <v>112</v>
      </c>
      <c r="D369">
        <v>116</v>
      </c>
      <c r="E369">
        <v>3.1</v>
      </c>
      <c r="F369" t="s">
        <v>848</v>
      </c>
      <c r="G369" t="s">
        <v>849</v>
      </c>
      <c r="H369" t="s">
        <v>120</v>
      </c>
      <c r="I369" t="s">
        <v>121</v>
      </c>
      <c r="J369" t="s">
        <v>672</v>
      </c>
      <c r="K369" t="s">
        <v>67</v>
      </c>
      <c r="L369">
        <v>50</v>
      </c>
      <c r="M369">
        <v>2001</v>
      </c>
      <c r="N369" t="s">
        <v>31</v>
      </c>
      <c r="O369" t="s">
        <v>270</v>
      </c>
      <c r="P369" t="s">
        <v>33</v>
      </c>
      <c r="Q369" t="s">
        <v>68</v>
      </c>
      <c r="R369" t="s">
        <v>39</v>
      </c>
    </row>
    <row r="370" spans="1:18">
      <c r="A370">
        <v>377</v>
      </c>
      <c r="B370" t="s">
        <v>18</v>
      </c>
      <c r="C370">
        <v>112</v>
      </c>
      <c r="D370">
        <v>116</v>
      </c>
      <c r="E370">
        <v>3.5</v>
      </c>
      <c r="F370" t="s">
        <v>850</v>
      </c>
      <c r="G370" t="s">
        <v>370</v>
      </c>
      <c r="H370" t="s">
        <v>342</v>
      </c>
      <c r="I370" t="s">
        <v>343</v>
      </c>
      <c r="J370" t="s">
        <v>371</v>
      </c>
      <c r="K370" t="s">
        <v>106</v>
      </c>
      <c r="L370">
        <v>500</v>
      </c>
      <c r="M370">
        <v>2011</v>
      </c>
      <c r="N370" t="s">
        <v>31</v>
      </c>
      <c r="O370" t="s">
        <v>851</v>
      </c>
      <c r="P370" t="s">
        <v>743</v>
      </c>
      <c r="Q370" t="s">
        <v>27</v>
      </c>
      <c r="R370" t="s">
        <v>39</v>
      </c>
    </row>
    <row r="371" spans="1:18">
      <c r="A371">
        <v>378</v>
      </c>
      <c r="B371" t="s">
        <v>18</v>
      </c>
      <c r="C371">
        <v>112</v>
      </c>
      <c r="D371">
        <v>116</v>
      </c>
      <c r="E371">
        <v>3.8</v>
      </c>
      <c r="F371" t="s">
        <v>852</v>
      </c>
      <c r="G371" t="s">
        <v>833</v>
      </c>
      <c r="H371" t="s">
        <v>120</v>
      </c>
      <c r="I371" t="s">
        <v>121</v>
      </c>
      <c r="J371" t="s">
        <v>853</v>
      </c>
      <c r="K371" t="s">
        <v>23</v>
      </c>
      <c r="L371">
        <v>5000</v>
      </c>
      <c r="M371">
        <v>1999</v>
      </c>
      <c r="N371" t="s">
        <v>31</v>
      </c>
      <c r="O371" t="s">
        <v>98</v>
      </c>
      <c r="P371" t="s">
        <v>38</v>
      </c>
      <c r="Q371" t="s">
        <v>198</v>
      </c>
      <c r="R371" t="s">
        <v>39</v>
      </c>
    </row>
    <row r="372" spans="1:18">
      <c r="A372">
        <v>379</v>
      </c>
      <c r="B372" t="s">
        <v>18</v>
      </c>
      <c r="C372">
        <v>112</v>
      </c>
      <c r="D372">
        <v>116</v>
      </c>
      <c r="E372">
        <v>3.7</v>
      </c>
      <c r="F372" t="s">
        <v>854</v>
      </c>
      <c r="G372" t="s">
        <v>60</v>
      </c>
      <c r="H372" t="s">
        <v>46</v>
      </c>
      <c r="I372" t="s">
        <v>47</v>
      </c>
      <c r="J372" t="s">
        <v>787</v>
      </c>
      <c r="K372" t="s">
        <v>49</v>
      </c>
      <c r="L372">
        <v>10000</v>
      </c>
      <c r="M372">
        <v>1908</v>
      </c>
      <c r="N372" t="s">
        <v>284</v>
      </c>
      <c r="O372" t="s">
        <v>181</v>
      </c>
      <c r="P372" t="s">
        <v>182</v>
      </c>
      <c r="Q372" t="s">
        <v>27</v>
      </c>
      <c r="R372" t="s">
        <v>855</v>
      </c>
    </row>
    <row r="373" spans="1:18">
      <c r="A373">
        <v>380</v>
      </c>
      <c r="B373" t="s">
        <v>112</v>
      </c>
      <c r="C373">
        <v>112</v>
      </c>
      <c r="D373">
        <v>116</v>
      </c>
      <c r="E373">
        <v>3.5</v>
      </c>
      <c r="F373" t="s">
        <v>599</v>
      </c>
      <c r="G373" t="s">
        <v>600</v>
      </c>
      <c r="H373" t="s">
        <v>120</v>
      </c>
      <c r="I373" t="s">
        <v>121</v>
      </c>
      <c r="J373" t="s">
        <v>601</v>
      </c>
      <c r="K373" t="s">
        <v>56</v>
      </c>
      <c r="L373">
        <v>1000</v>
      </c>
      <c r="M373">
        <v>1996</v>
      </c>
      <c r="N373" t="s">
        <v>24</v>
      </c>
      <c r="O373" t="s">
        <v>204</v>
      </c>
      <c r="P373" t="s">
        <v>205</v>
      </c>
      <c r="Q373" t="s">
        <v>183</v>
      </c>
      <c r="R373" t="s">
        <v>39</v>
      </c>
    </row>
    <row r="374" spans="1:18">
      <c r="A374">
        <v>381</v>
      </c>
      <c r="B374" t="s">
        <v>112</v>
      </c>
      <c r="C374">
        <v>112</v>
      </c>
      <c r="D374">
        <v>116</v>
      </c>
      <c r="E374">
        <v>3.7</v>
      </c>
      <c r="F374" t="s">
        <v>534</v>
      </c>
      <c r="G374" t="s">
        <v>70</v>
      </c>
      <c r="H374" t="s">
        <v>71</v>
      </c>
      <c r="I374" t="s">
        <v>72</v>
      </c>
      <c r="J374" t="s">
        <v>535</v>
      </c>
      <c r="K374" t="s">
        <v>49</v>
      </c>
      <c r="L374">
        <v>10000</v>
      </c>
      <c r="M374">
        <v>1851</v>
      </c>
      <c r="N374" t="s">
        <v>31</v>
      </c>
      <c r="O374" t="s">
        <v>25</v>
      </c>
      <c r="P374" t="s">
        <v>26</v>
      </c>
      <c r="Q374" t="s">
        <v>87</v>
      </c>
      <c r="R374" t="s">
        <v>39</v>
      </c>
    </row>
    <row r="375" spans="1:18">
      <c r="A375">
        <v>382</v>
      </c>
      <c r="B375" t="s">
        <v>112</v>
      </c>
      <c r="C375">
        <v>112</v>
      </c>
      <c r="D375">
        <v>116</v>
      </c>
      <c r="E375">
        <v>5</v>
      </c>
      <c r="F375" t="s">
        <v>856</v>
      </c>
      <c r="G375" t="s">
        <v>70</v>
      </c>
      <c r="H375" t="s">
        <v>71</v>
      </c>
      <c r="I375" t="s">
        <v>72</v>
      </c>
      <c r="J375" t="s">
        <v>346</v>
      </c>
      <c r="K375" t="s">
        <v>67</v>
      </c>
      <c r="L375">
        <v>50</v>
      </c>
      <c r="M375">
        <v>2003</v>
      </c>
      <c r="N375" t="s">
        <v>857</v>
      </c>
      <c r="O375" t="s">
        <v>37</v>
      </c>
      <c r="P375" t="s">
        <v>38</v>
      </c>
      <c r="Q375" t="s">
        <v>27</v>
      </c>
      <c r="R375" t="s">
        <v>39</v>
      </c>
    </row>
    <row r="376" spans="1:18">
      <c r="A376">
        <v>383</v>
      </c>
      <c r="B376" t="s">
        <v>195</v>
      </c>
      <c r="C376">
        <v>112</v>
      </c>
      <c r="D376">
        <v>116</v>
      </c>
      <c r="E376">
        <v>4</v>
      </c>
      <c r="F376" t="s">
        <v>858</v>
      </c>
      <c r="G376" t="s">
        <v>607</v>
      </c>
      <c r="H376" t="s">
        <v>608</v>
      </c>
      <c r="I376" t="s">
        <v>609</v>
      </c>
      <c r="J376" t="s">
        <v>324</v>
      </c>
      <c r="K376" t="s">
        <v>85</v>
      </c>
      <c r="M376">
        <v>1853</v>
      </c>
      <c r="N376" t="s">
        <v>50</v>
      </c>
      <c r="O376" t="s">
        <v>25</v>
      </c>
      <c r="P376" t="s">
        <v>26</v>
      </c>
      <c r="Q376" t="s">
        <v>87</v>
      </c>
      <c r="R376" t="s">
        <v>39</v>
      </c>
    </row>
    <row r="377" spans="1:18">
      <c r="A377">
        <v>384</v>
      </c>
      <c r="B377" t="s">
        <v>99</v>
      </c>
      <c r="C377">
        <v>112</v>
      </c>
      <c r="D377">
        <v>116</v>
      </c>
      <c r="E377">
        <v>3.6</v>
      </c>
      <c r="F377" t="s">
        <v>859</v>
      </c>
      <c r="G377" t="s">
        <v>129</v>
      </c>
      <c r="H377" t="s">
        <v>120</v>
      </c>
      <c r="I377" t="s">
        <v>121</v>
      </c>
      <c r="J377" t="s">
        <v>36</v>
      </c>
      <c r="K377" t="s">
        <v>23</v>
      </c>
      <c r="L377">
        <v>5000</v>
      </c>
      <c r="M377">
        <v>2011</v>
      </c>
      <c r="N377" t="s">
        <v>284</v>
      </c>
      <c r="O377" t="s">
        <v>41</v>
      </c>
      <c r="P377" t="s">
        <v>38</v>
      </c>
      <c r="Q377" t="s">
        <v>27</v>
      </c>
      <c r="R377" t="s">
        <v>39</v>
      </c>
    </row>
    <row r="378" spans="1:18">
      <c r="A378">
        <v>385</v>
      </c>
      <c r="B378" t="s">
        <v>18</v>
      </c>
      <c r="C378">
        <v>110</v>
      </c>
      <c r="D378">
        <v>163</v>
      </c>
      <c r="E378">
        <v>4.8</v>
      </c>
      <c r="F378" t="s">
        <v>105</v>
      </c>
      <c r="G378" t="s">
        <v>70</v>
      </c>
      <c r="H378" t="s">
        <v>71</v>
      </c>
      <c r="I378" t="s">
        <v>72</v>
      </c>
      <c r="J378" t="s">
        <v>73</v>
      </c>
      <c r="K378" t="s">
        <v>106</v>
      </c>
      <c r="L378">
        <v>500</v>
      </c>
      <c r="M378">
        <v>2012</v>
      </c>
      <c r="N378" t="s">
        <v>31</v>
      </c>
      <c r="O378" t="s">
        <v>37</v>
      </c>
      <c r="P378" t="s">
        <v>38</v>
      </c>
      <c r="Q378" t="s">
        <v>27</v>
      </c>
      <c r="R378" t="s">
        <v>39</v>
      </c>
    </row>
    <row r="379" spans="1:18">
      <c r="A379">
        <v>386</v>
      </c>
      <c r="B379" t="s">
        <v>18</v>
      </c>
      <c r="C379">
        <v>110</v>
      </c>
      <c r="D379">
        <v>163</v>
      </c>
      <c r="E379">
        <v>3.8</v>
      </c>
      <c r="F379" t="s">
        <v>369</v>
      </c>
      <c r="G379" t="s">
        <v>370</v>
      </c>
      <c r="H379" t="s">
        <v>342</v>
      </c>
      <c r="I379" t="s">
        <v>343</v>
      </c>
      <c r="J379" t="s">
        <v>371</v>
      </c>
      <c r="K379" t="s">
        <v>30</v>
      </c>
      <c r="L379">
        <v>200</v>
      </c>
      <c r="M379">
        <v>2009</v>
      </c>
      <c r="N379" t="s">
        <v>31</v>
      </c>
      <c r="O379" t="s">
        <v>32</v>
      </c>
      <c r="P379" t="s">
        <v>33</v>
      </c>
      <c r="Q379" t="s">
        <v>140</v>
      </c>
      <c r="R379" t="s">
        <v>372</v>
      </c>
    </row>
    <row r="380" spans="1:18">
      <c r="A380">
        <v>387</v>
      </c>
      <c r="B380" t="s">
        <v>112</v>
      </c>
      <c r="C380">
        <v>110</v>
      </c>
      <c r="D380">
        <v>163</v>
      </c>
      <c r="E380">
        <v>3.6</v>
      </c>
      <c r="F380" t="s">
        <v>860</v>
      </c>
      <c r="G380" t="s">
        <v>83</v>
      </c>
      <c r="H380" t="s">
        <v>71</v>
      </c>
      <c r="I380" t="s">
        <v>72</v>
      </c>
      <c r="J380" t="s">
        <v>108</v>
      </c>
      <c r="K380" t="s">
        <v>49</v>
      </c>
      <c r="L380">
        <v>10000</v>
      </c>
      <c r="M380">
        <v>1978</v>
      </c>
      <c r="N380" t="s">
        <v>50</v>
      </c>
      <c r="O380" t="s">
        <v>86</v>
      </c>
      <c r="P380" t="s">
        <v>86</v>
      </c>
      <c r="Q380" t="s">
        <v>87</v>
      </c>
      <c r="R380" t="s">
        <v>39</v>
      </c>
    </row>
    <row r="381" spans="1:18">
      <c r="A381">
        <v>390</v>
      </c>
      <c r="B381" t="s">
        <v>103</v>
      </c>
      <c r="C381">
        <v>110</v>
      </c>
      <c r="D381">
        <v>163</v>
      </c>
      <c r="E381">
        <v>3.3</v>
      </c>
      <c r="F381" t="s">
        <v>295</v>
      </c>
      <c r="G381" t="s">
        <v>304</v>
      </c>
      <c r="H381" t="s">
        <v>120</v>
      </c>
      <c r="I381" t="s">
        <v>121</v>
      </c>
      <c r="J381" t="s">
        <v>155</v>
      </c>
      <c r="K381" t="s">
        <v>56</v>
      </c>
      <c r="L381">
        <v>1000</v>
      </c>
      <c r="M381">
        <v>2015</v>
      </c>
      <c r="N381" t="s">
        <v>31</v>
      </c>
      <c r="O381" t="s">
        <v>86</v>
      </c>
      <c r="P381" t="s">
        <v>86</v>
      </c>
      <c r="Q381" t="s">
        <v>27</v>
      </c>
      <c r="R381" t="s">
        <v>39</v>
      </c>
    </row>
    <row r="382" spans="1:18">
      <c r="A382">
        <v>391</v>
      </c>
      <c r="B382" t="s">
        <v>18</v>
      </c>
      <c r="C382">
        <v>110</v>
      </c>
      <c r="D382">
        <v>163</v>
      </c>
      <c r="E382">
        <v>4.0999999999999996</v>
      </c>
      <c r="F382" t="s">
        <v>861</v>
      </c>
      <c r="G382" t="s">
        <v>862</v>
      </c>
      <c r="H382" t="s">
        <v>120</v>
      </c>
      <c r="I382" t="s">
        <v>121</v>
      </c>
      <c r="J382" t="s">
        <v>863</v>
      </c>
      <c r="K382" t="s">
        <v>49</v>
      </c>
      <c r="L382">
        <v>10000</v>
      </c>
      <c r="M382">
        <v>1981</v>
      </c>
      <c r="N382" t="s">
        <v>50</v>
      </c>
      <c r="O382" t="s">
        <v>37</v>
      </c>
      <c r="P382" t="s">
        <v>38</v>
      </c>
      <c r="Q382" t="s">
        <v>52</v>
      </c>
      <c r="R382" t="s">
        <v>864</v>
      </c>
    </row>
    <row r="383" spans="1:18">
      <c r="A383">
        <v>392</v>
      </c>
      <c r="B383" t="s">
        <v>18</v>
      </c>
      <c r="C383">
        <v>110</v>
      </c>
      <c r="D383">
        <v>163</v>
      </c>
      <c r="E383">
        <v>3.6</v>
      </c>
      <c r="F383" t="s">
        <v>865</v>
      </c>
      <c r="G383" t="s">
        <v>866</v>
      </c>
      <c r="H383" t="s">
        <v>244</v>
      </c>
      <c r="I383" t="s">
        <v>245</v>
      </c>
      <c r="J383" t="s">
        <v>148</v>
      </c>
      <c r="K383" t="s">
        <v>23</v>
      </c>
      <c r="L383">
        <v>5000</v>
      </c>
      <c r="M383">
        <v>-1</v>
      </c>
      <c r="N383" t="s">
        <v>31</v>
      </c>
      <c r="O383" t="s">
        <v>86</v>
      </c>
      <c r="P383" t="s">
        <v>86</v>
      </c>
      <c r="Q383" t="s">
        <v>42</v>
      </c>
      <c r="R383" t="s">
        <v>39</v>
      </c>
    </row>
    <row r="384" spans="1:18">
      <c r="A384">
        <v>393</v>
      </c>
      <c r="B384" t="s">
        <v>195</v>
      </c>
      <c r="C384">
        <v>110</v>
      </c>
      <c r="D384">
        <v>163</v>
      </c>
      <c r="E384">
        <v>4.5</v>
      </c>
      <c r="F384" t="s">
        <v>59</v>
      </c>
      <c r="G384" t="s">
        <v>831</v>
      </c>
      <c r="H384" t="s">
        <v>46</v>
      </c>
      <c r="I384" t="s">
        <v>47</v>
      </c>
      <c r="J384" t="s">
        <v>61</v>
      </c>
      <c r="K384" t="s">
        <v>30</v>
      </c>
      <c r="L384">
        <v>200</v>
      </c>
      <c r="M384">
        <v>2005</v>
      </c>
      <c r="N384" t="s">
        <v>31</v>
      </c>
      <c r="O384" t="s">
        <v>62</v>
      </c>
      <c r="P384" t="s">
        <v>63</v>
      </c>
      <c r="Q384" t="s">
        <v>64</v>
      </c>
      <c r="R384" t="s">
        <v>39</v>
      </c>
    </row>
    <row r="385" spans="1:18">
      <c r="A385">
        <v>394</v>
      </c>
      <c r="B385" t="s">
        <v>112</v>
      </c>
      <c r="C385">
        <v>110</v>
      </c>
      <c r="D385">
        <v>163</v>
      </c>
      <c r="E385">
        <v>3.3</v>
      </c>
      <c r="F385" t="s">
        <v>295</v>
      </c>
      <c r="G385" t="s">
        <v>152</v>
      </c>
      <c r="H385" t="s">
        <v>153</v>
      </c>
      <c r="I385" t="s">
        <v>154</v>
      </c>
      <c r="J385" t="s">
        <v>155</v>
      </c>
      <c r="K385" t="s">
        <v>56</v>
      </c>
      <c r="L385">
        <v>1000</v>
      </c>
      <c r="M385">
        <v>2015</v>
      </c>
      <c r="N385" t="s">
        <v>31</v>
      </c>
      <c r="O385" t="s">
        <v>86</v>
      </c>
      <c r="P385" t="s">
        <v>86</v>
      </c>
      <c r="Q385" t="s">
        <v>27</v>
      </c>
      <c r="R385" t="s">
        <v>39</v>
      </c>
    </row>
    <row r="386" spans="1:18">
      <c r="A386">
        <v>395</v>
      </c>
      <c r="B386" t="s">
        <v>112</v>
      </c>
      <c r="C386">
        <v>110</v>
      </c>
      <c r="D386">
        <v>163</v>
      </c>
      <c r="E386">
        <v>3.4</v>
      </c>
      <c r="F386" t="s">
        <v>237</v>
      </c>
      <c r="G386" t="s">
        <v>391</v>
      </c>
      <c r="H386" t="s">
        <v>273</v>
      </c>
      <c r="I386" t="s">
        <v>274</v>
      </c>
      <c r="J386" t="s">
        <v>73</v>
      </c>
      <c r="K386" t="s">
        <v>85</v>
      </c>
      <c r="M386">
        <v>1912</v>
      </c>
      <c r="N386" t="s">
        <v>31</v>
      </c>
      <c r="O386" t="s">
        <v>25</v>
      </c>
      <c r="P386" t="s">
        <v>26</v>
      </c>
      <c r="Q386" t="s">
        <v>87</v>
      </c>
      <c r="R386" t="s">
        <v>241</v>
      </c>
    </row>
    <row r="387" spans="1:18">
      <c r="A387">
        <v>396</v>
      </c>
      <c r="B387" t="s">
        <v>18</v>
      </c>
      <c r="C387">
        <v>110</v>
      </c>
      <c r="D387">
        <v>163</v>
      </c>
      <c r="E387">
        <v>4.3</v>
      </c>
      <c r="F387" t="s">
        <v>867</v>
      </c>
      <c r="G387" t="s">
        <v>145</v>
      </c>
      <c r="H387" t="s">
        <v>146</v>
      </c>
      <c r="I387" t="s">
        <v>147</v>
      </c>
      <c r="J387" t="s">
        <v>853</v>
      </c>
      <c r="K387" t="s">
        <v>56</v>
      </c>
      <c r="L387">
        <v>1000</v>
      </c>
      <c r="M387">
        <v>1996</v>
      </c>
      <c r="N387" t="s">
        <v>31</v>
      </c>
      <c r="O387" t="s">
        <v>98</v>
      </c>
      <c r="P387" t="s">
        <v>38</v>
      </c>
      <c r="Q387" t="s">
        <v>42</v>
      </c>
      <c r="R387" t="s">
        <v>868</v>
      </c>
    </row>
    <row r="388" spans="1:18">
      <c r="A388">
        <v>397</v>
      </c>
      <c r="B388" t="s">
        <v>18</v>
      </c>
      <c r="C388">
        <v>110</v>
      </c>
      <c r="D388">
        <v>163</v>
      </c>
      <c r="E388">
        <v>3.5</v>
      </c>
      <c r="F388" t="s">
        <v>403</v>
      </c>
      <c r="G388" t="s">
        <v>54</v>
      </c>
      <c r="H388" t="s">
        <v>46</v>
      </c>
      <c r="I388" t="s">
        <v>47</v>
      </c>
      <c r="J388" t="s">
        <v>404</v>
      </c>
      <c r="K388" t="s">
        <v>49</v>
      </c>
      <c r="L388">
        <v>10000</v>
      </c>
      <c r="M388">
        <v>-1</v>
      </c>
      <c r="N388" t="s">
        <v>50</v>
      </c>
      <c r="O388" t="s">
        <v>96</v>
      </c>
      <c r="P388" t="s">
        <v>96</v>
      </c>
      <c r="Q388" t="s">
        <v>126</v>
      </c>
      <c r="R388" t="s">
        <v>39</v>
      </c>
    </row>
    <row r="389" spans="1:18">
      <c r="A389">
        <v>398</v>
      </c>
      <c r="B389" t="s">
        <v>112</v>
      </c>
      <c r="C389">
        <v>110</v>
      </c>
      <c r="D389">
        <v>163</v>
      </c>
      <c r="E389">
        <v>4</v>
      </c>
      <c r="F389" t="s">
        <v>869</v>
      </c>
      <c r="G389" t="s">
        <v>870</v>
      </c>
      <c r="H389" t="s">
        <v>503</v>
      </c>
      <c r="I389" t="s">
        <v>504</v>
      </c>
      <c r="J389" t="s">
        <v>871</v>
      </c>
      <c r="K389" t="s">
        <v>23</v>
      </c>
      <c r="L389">
        <v>5000</v>
      </c>
      <c r="M389">
        <v>1974</v>
      </c>
      <c r="N389" t="s">
        <v>31</v>
      </c>
      <c r="O389" t="s">
        <v>96</v>
      </c>
      <c r="P389" t="s">
        <v>96</v>
      </c>
      <c r="Q389" t="s">
        <v>42</v>
      </c>
      <c r="R389" t="s">
        <v>39</v>
      </c>
    </row>
    <row r="390" spans="1:18">
      <c r="A390">
        <v>399</v>
      </c>
      <c r="B390" t="s">
        <v>112</v>
      </c>
      <c r="C390">
        <v>110</v>
      </c>
      <c r="D390">
        <v>163</v>
      </c>
      <c r="E390">
        <v>4.5</v>
      </c>
      <c r="F390" t="s">
        <v>278</v>
      </c>
      <c r="G390" t="s">
        <v>279</v>
      </c>
      <c r="H390" t="s">
        <v>71</v>
      </c>
      <c r="I390" t="s">
        <v>72</v>
      </c>
      <c r="J390" t="s">
        <v>280</v>
      </c>
      <c r="K390" t="s">
        <v>106</v>
      </c>
      <c r="L390">
        <v>500</v>
      </c>
      <c r="M390">
        <v>2010</v>
      </c>
      <c r="N390" t="s">
        <v>31</v>
      </c>
      <c r="O390" t="s">
        <v>96</v>
      </c>
      <c r="P390" t="s">
        <v>96</v>
      </c>
      <c r="Q390" t="s">
        <v>42</v>
      </c>
      <c r="R390" t="s">
        <v>39</v>
      </c>
    </row>
    <row r="391" spans="1:18">
      <c r="A391">
        <v>400</v>
      </c>
      <c r="B391" t="s">
        <v>99</v>
      </c>
      <c r="C391">
        <v>110</v>
      </c>
      <c r="D391">
        <v>163</v>
      </c>
      <c r="E391">
        <v>4.5</v>
      </c>
      <c r="F391" t="s">
        <v>53</v>
      </c>
      <c r="G391" t="s">
        <v>54</v>
      </c>
      <c r="H391" t="s">
        <v>46</v>
      </c>
      <c r="I391" t="s">
        <v>47</v>
      </c>
      <c r="J391" t="s">
        <v>55</v>
      </c>
      <c r="K391" t="s">
        <v>56</v>
      </c>
      <c r="L391">
        <v>1000</v>
      </c>
      <c r="M391">
        <v>2012</v>
      </c>
      <c r="N391" t="s">
        <v>31</v>
      </c>
      <c r="O391" t="s">
        <v>57</v>
      </c>
      <c r="P391" t="s">
        <v>38</v>
      </c>
      <c r="Q391" t="s">
        <v>42</v>
      </c>
      <c r="R391" t="s">
        <v>58</v>
      </c>
    </row>
    <row r="392" spans="1:18">
      <c r="A392">
        <v>401</v>
      </c>
      <c r="B392" t="s">
        <v>195</v>
      </c>
      <c r="C392">
        <v>110</v>
      </c>
      <c r="D392">
        <v>163</v>
      </c>
      <c r="E392">
        <v>3.9</v>
      </c>
      <c r="F392" t="s">
        <v>872</v>
      </c>
      <c r="G392" t="s">
        <v>873</v>
      </c>
      <c r="H392" t="s">
        <v>46</v>
      </c>
      <c r="I392" t="s">
        <v>47</v>
      </c>
      <c r="J392" t="s">
        <v>251</v>
      </c>
      <c r="K392" t="s">
        <v>85</v>
      </c>
      <c r="M392">
        <v>1933</v>
      </c>
      <c r="N392" t="s">
        <v>374</v>
      </c>
      <c r="O392" t="s">
        <v>365</v>
      </c>
      <c r="P392" t="s">
        <v>102</v>
      </c>
      <c r="Q392" t="s">
        <v>27</v>
      </c>
      <c r="R392" t="s">
        <v>39</v>
      </c>
    </row>
    <row r="393" spans="1:18">
      <c r="A393">
        <v>402</v>
      </c>
      <c r="B393" t="s">
        <v>112</v>
      </c>
      <c r="C393">
        <v>110</v>
      </c>
      <c r="D393">
        <v>163</v>
      </c>
      <c r="E393">
        <v>4</v>
      </c>
      <c r="F393" t="s">
        <v>874</v>
      </c>
      <c r="G393" t="s">
        <v>875</v>
      </c>
      <c r="H393" t="s">
        <v>226</v>
      </c>
      <c r="I393" t="s">
        <v>227</v>
      </c>
      <c r="J393" t="s">
        <v>876</v>
      </c>
      <c r="K393" t="s">
        <v>23</v>
      </c>
      <c r="L393">
        <v>5000</v>
      </c>
      <c r="M393">
        <v>1995</v>
      </c>
      <c r="N393" t="s">
        <v>50</v>
      </c>
      <c r="O393" t="s">
        <v>204</v>
      </c>
      <c r="P393" t="s">
        <v>205</v>
      </c>
      <c r="Q393" t="s">
        <v>42</v>
      </c>
      <c r="R393" t="s">
        <v>39</v>
      </c>
    </row>
    <row r="394" spans="1:18">
      <c r="A394">
        <v>403</v>
      </c>
      <c r="B394" t="s">
        <v>99</v>
      </c>
      <c r="C394">
        <v>110</v>
      </c>
      <c r="D394">
        <v>163</v>
      </c>
      <c r="E394">
        <v>3.6</v>
      </c>
      <c r="F394" t="s">
        <v>877</v>
      </c>
      <c r="G394" t="s">
        <v>878</v>
      </c>
      <c r="H394" t="s">
        <v>221</v>
      </c>
      <c r="I394" t="s">
        <v>222</v>
      </c>
      <c r="J394" t="s">
        <v>879</v>
      </c>
      <c r="K394" t="s">
        <v>106</v>
      </c>
      <c r="L394">
        <v>500</v>
      </c>
      <c r="M394">
        <v>1994</v>
      </c>
      <c r="N394" t="s">
        <v>31</v>
      </c>
      <c r="O394" t="s">
        <v>204</v>
      </c>
      <c r="P394" t="s">
        <v>205</v>
      </c>
      <c r="Q394" t="s">
        <v>183</v>
      </c>
      <c r="R394" t="s">
        <v>39</v>
      </c>
    </row>
    <row r="395" spans="1:18">
      <c r="A395">
        <v>404</v>
      </c>
      <c r="B395" t="s">
        <v>112</v>
      </c>
      <c r="C395">
        <v>110</v>
      </c>
      <c r="D395">
        <v>163</v>
      </c>
      <c r="E395">
        <v>3.3</v>
      </c>
      <c r="F395" t="s">
        <v>880</v>
      </c>
      <c r="G395" t="s">
        <v>881</v>
      </c>
      <c r="H395" t="s">
        <v>625</v>
      </c>
      <c r="I395" t="s">
        <v>626</v>
      </c>
      <c r="J395" t="s">
        <v>882</v>
      </c>
      <c r="K395" t="s">
        <v>49</v>
      </c>
      <c r="L395">
        <v>10000</v>
      </c>
      <c r="M395">
        <v>1875</v>
      </c>
      <c r="N395" t="s">
        <v>31</v>
      </c>
      <c r="O395" t="s">
        <v>285</v>
      </c>
      <c r="P395" t="s">
        <v>80</v>
      </c>
      <c r="Q395" t="s">
        <v>87</v>
      </c>
      <c r="R395" t="s">
        <v>39</v>
      </c>
    </row>
    <row r="396" spans="1:18">
      <c r="A396">
        <v>405</v>
      </c>
      <c r="B396" t="s">
        <v>103</v>
      </c>
      <c r="C396">
        <v>110</v>
      </c>
      <c r="D396">
        <v>163</v>
      </c>
      <c r="E396">
        <v>5</v>
      </c>
      <c r="F396" t="s">
        <v>883</v>
      </c>
      <c r="G396" t="s">
        <v>884</v>
      </c>
      <c r="H396" t="s">
        <v>625</v>
      </c>
      <c r="I396" t="s">
        <v>626</v>
      </c>
      <c r="J396" t="s">
        <v>392</v>
      </c>
      <c r="K396" t="s">
        <v>30</v>
      </c>
      <c r="L396">
        <v>200</v>
      </c>
      <c r="M396">
        <v>2016</v>
      </c>
      <c r="N396" t="s">
        <v>31</v>
      </c>
      <c r="O396" t="s">
        <v>57</v>
      </c>
      <c r="P396" t="s">
        <v>38</v>
      </c>
      <c r="Q396" t="s">
        <v>27</v>
      </c>
      <c r="R396" t="s">
        <v>39</v>
      </c>
    </row>
    <row r="397" spans="1:18">
      <c r="A397">
        <v>406</v>
      </c>
      <c r="B397" t="s">
        <v>18</v>
      </c>
      <c r="C397">
        <v>124</v>
      </c>
      <c r="D397">
        <v>198</v>
      </c>
      <c r="E397">
        <v>4.0999999999999996</v>
      </c>
      <c r="F397" t="s">
        <v>263</v>
      </c>
      <c r="G397" t="s">
        <v>129</v>
      </c>
      <c r="H397" t="s">
        <v>120</v>
      </c>
      <c r="I397" t="s">
        <v>121</v>
      </c>
      <c r="J397" t="s">
        <v>36</v>
      </c>
      <c r="K397" t="s">
        <v>23</v>
      </c>
      <c r="L397">
        <v>5000</v>
      </c>
      <c r="M397">
        <v>2006</v>
      </c>
      <c r="N397" t="s">
        <v>50</v>
      </c>
      <c r="O397" t="s">
        <v>41</v>
      </c>
      <c r="P397" t="s">
        <v>38</v>
      </c>
      <c r="Q397" t="s">
        <v>126</v>
      </c>
      <c r="R397" t="s">
        <v>264</v>
      </c>
    </row>
    <row r="398" spans="1:18">
      <c r="A398">
        <v>407</v>
      </c>
      <c r="B398" t="s">
        <v>18</v>
      </c>
      <c r="C398">
        <v>124</v>
      </c>
      <c r="D398">
        <v>198</v>
      </c>
      <c r="E398">
        <v>3.2</v>
      </c>
      <c r="F398" t="s">
        <v>265</v>
      </c>
      <c r="G398" t="s">
        <v>129</v>
      </c>
      <c r="H398" t="s">
        <v>120</v>
      </c>
      <c r="I398" t="s">
        <v>121</v>
      </c>
      <c r="J398" t="s">
        <v>36</v>
      </c>
      <c r="K398" t="s">
        <v>23</v>
      </c>
      <c r="L398">
        <v>5000</v>
      </c>
      <c r="M398">
        <v>2011</v>
      </c>
      <c r="N398" t="s">
        <v>31</v>
      </c>
      <c r="O398" t="s">
        <v>266</v>
      </c>
      <c r="P398" t="s">
        <v>267</v>
      </c>
      <c r="Q398" t="s">
        <v>27</v>
      </c>
      <c r="R398" t="s">
        <v>268</v>
      </c>
    </row>
    <row r="399" spans="1:18">
      <c r="A399">
        <v>408</v>
      </c>
      <c r="B399" t="s">
        <v>18</v>
      </c>
      <c r="C399">
        <v>124</v>
      </c>
      <c r="D399">
        <v>198</v>
      </c>
      <c r="E399">
        <v>4.9000000000000004</v>
      </c>
      <c r="F399" t="s">
        <v>885</v>
      </c>
      <c r="G399" t="s">
        <v>479</v>
      </c>
      <c r="H399" t="s">
        <v>331</v>
      </c>
      <c r="I399" t="s">
        <v>332</v>
      </c>
      <c r="J399" t="s">
        <v>829</v>
      </c>
      <c r="K399" t="s">
        <v>30</v>
      </c>
      <c r="L399">
        <v>200</v>
      </c>
      <c r="M399">
        <v>2010</v>
      </c>
      <c r="N399" t="s">
        <v>31</v>
      </c>
      <c r="O399" t="s">
        <v>57</v>
      </c>
      <c r="P399" t="s">
        <v>38</v>
      </c>
      <c r="Q399" t="s">
        <v>140</v>
      </c>
      <c r="R399" t="s">
        <v>39</v>
      </c>
    </row>
    <row r="400" spans="1:18">
      <c r="A400">
        <v>409</v>
      </c>
      <c r="B400" t="s">
        <v>18</v>
      </c>
      <c r="C400">
        <v>124</v>
      </c>
      <c r="D400">
        <v>198</v>
      </c>
      <c r="E400">
        <v>-1</v>
      </c>
      <c r="F400" t="s">
        <v>886</v>
      </c>
      <c r="G400" t="s">
        <v>445</v>
      </c>
      <c r="H400" t="s">
        <v>120</v>
      </c>
      <c r="I400" t="s">
        <v>121</v>
      </c>
      <c r="J400" t="s">
        <v>887</v>
      </c>
      <c r="K400" t="s">
        <v>546</v>
      </c>
      <c r="M400">
        <v>-1</v>
      </c>
      <c r="N400" t="s">
        <v>546</v>
      </c>
      <c r="O400" t="s">
        <v>39</v>
      </c>
      <c r="P400">
        <v>-1</v>
      </c>
      <c r="Q400" t="s">
        <v>27</v>
      </c>
      <c r="R400" t="s">
        <v>39</v>
      </c>
    </row>
    <row r="401" spans="1:18">
      <c r="A401">
        <v>410</v>
      </c>
      <c r="B401" t="s">
        <v>18</v>
      </c>
      <c r="C401">
        <v>124</v>
      </c>
      <c r="D401">
        <v>198</v>
      </c>
      <c r="E401">
        <v>3.3</v>
      </c>
      <c r="F401" t="s">
        <v>888</v>
      </c>
      <c r="G401" t="s">
        <v>70</v>
      </c>
      <c r="H401" t="s">
        <v>71</v>
      </c>
      <c r="I401" t="s">
        <v>72</v>
      </c>
      <c r="J401" t="s">
        <v>73</v>
      </c>
      <c r="K401" t="s">
        <v>106</v>
      </c>
      <c r="L401">
        <v>500</v>
      </c>
      <c r="M401">
        <v>2018</v>
      </c>
      <c r="N401" t="s">
        <v>31</v>
      </c>
      <c r="O401" t="s">
        <v>86</v>
      </c>
      <c r="P401" t="s">
        <v>86</v>
      </c>
      <c r="Q401" t="s">
        <v>27</v>
      </c>
      <c r="R401" t="s">
        <v>39</v>
      </c>
    </row>
    <row r="402" spans="1:18">
      <c r="A402">
        <v>411</v>
      </c>
      <c r="B402" t="s">
        <v>18</v>
      </c>
      <c r="C402">
        <v>124</v>
      </c>
      <c r="D402">
        <v>198</v>
      </c>
      <c r="E402">
        <v>-1</v>
      </c>
      <c r="F402" t="s">
        <v>889</v>
      </c>
      <c r="G402" t="s">
        <v>890</v>
      </c>
      <c r="H402" t="s">
        <v>120</v>
      </c>
      <c r="I402" t="s">
        <v>121</v>
      </c>
      <c r="J402" t="s">
        <v>891</v>
      </c>
      <c r="K402" t="s">
        <v>67</v>
      </c>
      <c r="L402">
        <v>50</v>
      </c>
      <c r="M402">
        <v>2005</v>
      </c>
      <c r="N402" t="s">
        <v>31</v>
      </c>
      <c r="O402" t="s">
        <v>98</v>
      </c>
      <c r="P402" t="s">
        <v>38</v>
      </c>
      <c r="Q402" t="s">
        <v>27</v>
      </c>
      <c r="R402" t="s">
        <v>39</v>
      </c>
    </row>
    <row r="403" spans="1:18">
      <c r="A403">
        <v>412</v>
      </c>
      <c r="B403" t="s">
        <v>18</v>
      </c>
      <c r="C403">
        <v>124</v>
      </c>
      <c r="D403">
        <v>198</v>
      </c>
      <c r="E403">
        <v>5</v>
      </c>
      <c r="F403" t="s">
        <v>892</v>
      </c>
      <c r="G403" t="s">
        <v>849</v>
      </c>
      <c r="H403" t="s">
        <v>120</v>
      </c>
      <c r="I403" t="s">
        <v>121</v>
      </c>
      <c r="J403" t="s">
        <v>785</v>
      </c>
      <c r="K403" t="s">
        <v>67</v>
      </c>
      <c r="L403">
        <v>50</v>
      </c>
      <c r="M403">
        <v>-1</v>
      </c>
      <c r="N403" t="s">
        <v>31</v>
      </c>
      <c r="O403" t="s">
        <v>57</v>
      </c>
      <c r="P403" t="s">
        <v>38</v>
      </c>
      <c r="Q403" t="s">
        <v>27</v>
      </c>
      <c r="R403" t="s">
        <v>39</v>
      </c>
    </row>
    <row r="404" spans="1:18">
      <c r="A404">
        <v>413</v>
      </c>
      <c r="B404" t="s">
        <v>18</v>
      </c>
      <c r="C404">
        <v>124</v>
      </c>
      <c r="D404">
        <v>198</v>
      </c>
      <c r="E404">
        <v>3.4</v>
      </c>
      <c r="F404" t="s">
        <v>893</v>
      </c>
      <c r="G404" t="s">
        <v>894</v>
      </c>
      <c r="H404" t="s">
        <v>120</v>
      </c>
      <c r="I404" t="s">
        <v>121</v>
      </c>
      <c r="J404" t="s">
        <v>895</v>
      </c>
      <c r="K404" t="s">
        <v>67</v>
      </c>
      <c r="L404">
        <v>50</v>
      </c>
      <c r="M404">
        <v>-1</v>
      </c>
      <c r="N404" t="s">
        <v>31</v>
      </c>
      <c r="O404" t="s">
        <v>32</v>
      </c>
      <c r="P404" t="s">
        <v>33</v>
      </c>
      <c r="Q404" t="s">
        <v>68</v>
      </c>
      <c r="R404" t="s">
        <v>39</v>
      </c>
    </row>
    <row r="405" spans="1:18">
      <c r="A405">
        <v>414</v>
      </c>
      <c r="B405" t="s">
        <v>18</v>
      </c>
      <c r="C405">
        <v>124</v>
      </c>
      <c r="D405">
        <v>198</v>
      </c>
      <c r="E405">
        <v>4.0999999999999996</v>
      </c>
      <c r="F405" t="s">
        <v>896</v>
      </c>
      <c r="G405" t="s">
        <v>145</v>
      </c>
      <c r="H405" t="s">
        <v>146</v>
      </c>
      <c r="I405" t="s">
        <v>147</v>
      </c>
      <c r="J405" t="s">
        <v>897</v>
      </c>
      <c r="K405" t="s">
        <v>67</v>
      </c>
      <c r="L405">
        <v>50</v>
      </c>
      <c r="M405">
        <v>-1</v>
      </c>
      <c r="N405" t="s">
        <v>31</v>
      </c>
      <c r="O405" t="s">
        <v>75</v>
      </c>
      <c r="P405" t="s">
        <v>33</v>
      </c>
      <c r="Q405" t="s">
        <v>68</v>
      </c>
      <c r="R405" t="s">
        <v>39</v>
      </c>
    </row>
    <row r="406" spans="1:18">
      <c r="A406">
        <v>415</v>
      </c>
      <c r="B406" t="s">
        <v>18</v>
      </c>
      <c r="C406">
        <v>124</v>
      </c>
      <c r="D406">
        <v>198</v>
      </c>
      <c r="E406">
        <v>5</v>
      </c>
      <c r="F406" t="s">
        <v>898</v>
      </c>
      <c r="G406" t="s">
        <v>358</v>
      </c>
      <c r="H406" t="s">
        <v>46</v>
      </c>
      <c r="I406" t="s">
        <v>47</v>
      </c>
      <c r="J406" t="s">
        <v>524</v>
      </c>
      <c r="K406" t="s">
        <v>30</v>
      </c>
      <c r="L406">
        <v>200</v>
      </c>
      <c r="M406">
        <v>2014</v>
      </c>
      <c r="N406" t="s">
        <v>31</v>
      </c>
      <c r="O406" t="s">
        <v>96</v>
      </c>
      <c r="P406" t="s">
        <v>96</v>
      </c>
      <c r="Q406" t="s">
        <v>140</v>
      </c>
      <c r="R406" t="s">
        <v>39</v>
      </c>
    </row>
    <row r="407" spans="1:18">
      <c r="A407">
        <v>416</v>
      </c>
      <c r="B407" t="s">
        <v>18</v>
      </c>
      <c r="C407">
        <v>124</v>
      </c>
      <c r="D407">
        <v>198</v>
      </c>
      <c r="E407">
        <v>4.2</v>
      </c>
      <c r="F407" t="s">
        <v>899</v>
      </c>
      <c r="G407" t="s">
        <v>114</v>
      </c>
      <c r="H407" t="s">
        <v>115</v>
      </c>
      <c r="I407" t="s">
        <v>116</v>
      </c>
      <c r="J407" t="s">
        <v>713</v>
      </c>
      <c r="K407" t="s">
        <v>106</v>
      </c>
      <c r="L407">
        <v>500</v>
      </c>
      <c r="M407">
        <v>1999</v>
      </c>
      <c r="N407" t="s">
        <v>284</v>
      </c>
      <c r="O407" t="s">
        <v>270</v>
      </c>
      <c r="P407" t="s">
        <v>33</v>
      </c>
      <c r="Q407" t="s">
        <v>42</v>
      </c>
      <c r="R407" t="s">
        <v>39</v>
      </c>
    </row>
    <row r="408" spans="1:18">
      <c r="A408">
        <v>417</v>
      </c>
      <c r="B408" t="s">
        <v>18</v>
      </c>
      <c r="C408">
        <v>124</v>
      </c>
      <c r="D408">
        <v>198</v>
      </c>
      <c r="E408">
        <v>3.7</v>
      </c>
      <c r="F408" t="s">
        <v>900</v>
      </c>
      <c r="G408" t="s">
        <v>901</v>
      </c>
      <c r="H408" t="s">
        <v>120</v>
      </c>
      <c r="I408" t="s">
        <v>121</v>
      </c>
      <c r="J408" t="s">
        <v>55</v>
      </c>
      <c r="K408" t="s">
        <v>85</v>
      </c>
      <c r="M408">
        <v>1914</v>
      </c>
      <c r="N408" t="s">
        <v>50</v>
      </c>
      <c r="O408" t="s">
        <v>75</v>
      </c>
      <c r="P408" t="s">
        <v>33</v>
      </c>
      <c r="Q408" t="s">
        <v>217</v>
      </c>
      <c r="R408" t="s">
        <v>902</v>
      </c>
    </row>
    <row r="409" spans="1:18">
      <c r="A409">
        <v>418</v>
      </c>
      <c r="B409" t="s">
        <v>18</v>
      </c>
      <c r="C409">
        <v>124</v>
      </c>
      <c r="D409">
        <v>198</v>
      </c>
      <c r="E409">
        <v>3.8</v>
      </c>
      <c r="F409" t="s">
        <v>903</v>
      </c>
      <c r="G409" t="s">
        <v>904</v>
      </c>
      <c r="H409" t="s">
        <v>173</v>
      </c>
      <c r="I409" t="s">
        <v>174</v>
      </c>
      <c r="J409" t="s">
        <v>905</v>
      </c>
      <c r="K409" t="s">
        <v>49</v>
      </c>
      <c r="L409">
        <v>10000</v>
      </c>
      <c r="M409">
        <v>1898</v>
      </c>
      <c r="N409" t="s">
        <v>31</v>
      </c>
      <c r="O409" t="s">
        <v>705</v>
      </c>
      <c r="P409" t="s">
        <v>33</v>
      </c>
      <c r="Q409" t="s">
        <v>52</v>
      </c>
      <c r="R409" t="s">
        <v>906</v>
      </c>
    </row>
    <row r="410" spans="1:18">
      <c r="A410">
        <v>419</v>
      </c>
      <c r="B410" t="s">
        <v>18</v>
      </c>
      <c r="C410">
        <v>124</v>
      </c>
      <c r="D410">
        <v>198</v>
      </c>
      <c r="E410">
        <v>4.8</v>
      </c>
      <c r="F410" t="s">
        <v>907</v>
      </c>
      <c r="G410" t="s">
        <v>908</v>
      </c>
      <c r="H410" t="s">
        <v>244</v>
      </c>
      <c r="I410" t="s">
        <v>245</v>
      </c>
      <c r="J410" t="s">
        <v>909</v>
      </c>
      <c r="K410" t="s">
        <v>106</v>
      </c>
      <c r="L410">
        <v>500</v>
      </c>
      <c r="M410">
        <v>2010</v>
      </c>
      <c r="N410" t="s">
        <v>31</v>
      </c>
      <c r="O410" t="s">
        <v>98</v>
      </c>
      <c r="P410" t="s">
        <v>38</v>
      </c>
      <c r="Q410" t="s">
        <v>68</v>
      </c>
      <c r="R410" t="s">
        <v>39</v>
      </c>
    </row>
    <row r="411" spans="1:18">
      <c r="A411">
        <v>420</v>
      </c>
      <c r="B411" t="s">
        <v>18</v>
      </c>
      <c r="C411">
        <v>124</v>
      </c>
      <c r="D411">
        <v>198</v>
      </c>
      <c r="E411">
        <v>3.5</v>
      </c>
      <c r="F411" t="s">
        <v>910</v>
      </c>
      <c r="G411" t="s">
        <v>911</v>
      </c>
      <c r="H411" t="s">
        <v>239</v>
      </c>
      <c r="I411" t="s">
        <v>240</v>
      </c>
      <c r="J411" t="s">
        <v>117</v>
      </c>
      <c r="K411" t="s">
        <v>85</v>
      </c>
      <c r="M411">
        <v>1948</v>
      </c>
      <c r="N411" t="s">
        <v>50</v>
      </c>
      <c r="O411" t="s">
        <v>270</v>
      </c>
      <c r="P411" t="s">
        <v>33</v>
      </c>
      <c r="Q411" t="s">
        <v>126</v>
      </c>
      <c r="R411" t="s">
        <v>912</v>
      </c>
    </row>
    <row r="412" spans="1:18">
      <c r="A412">
        <v>421</v>
      </c>
      <c r="B412" t="s">
        <v>99</v>
      </c>
      <c r="C412">
        <v>124</v>
      </c>
      <c r="D412">
        <v>198</v>
      </c>
      <c r="E412">
        <v>4.5999999999999996</v>
      </c>
      <c r="F412" t="s">
        <v>562</v>
      </c>
      <c r="G412" t="s">
        <v>563</v>
      </c>
      <c r="H412" t="s">
        <v>564</v>
      </c>
      <c r="I412" t="s">
        <v>565</v>
      </c>
      <c r="J412" t="s">
        <v>566</v>
      </c>
      <c r="K412" t="s">
        <v>56</v>
      </c>
      <c r="L412">
        <v>1000</v>
      </c>
      <c r="M412">
        <v>1992</v>
      </c>
      <c r="N412" t="s">
        <v>31</v>
      </c>
      <c r="O412" t="s">
        <v>436</v>
      </c>
      <c r="P412" t="s">
        <v>102</v>
      </c>
      <c r="Q412" t="s">
        <v>42</v>
      </c>
      <c r="R412" t="s">
        <v>39</v>
      </c>
    </row>
    <row r="413" spans="1:18">
      <c r="A413">
        <v>422</v>
      </c>
      <c r="B413" t="s">
        <v>18</v>
      </c>
      <c r="C413">
        <v>124</v>
      </c>
      <c r="D413">
        <v>198</v>
      </c>
      <c r="E413">
        <v>4.5</v>
      </c>
      <c r="F413" t="s">
        <v>913</v>
      </c>
      <c r="G413" t="s">
        <v>914</v>
      </c>
      <c r="H413" t="s">
        <v>214</v>
      </c>
      <c r="I413" t="s">
        <v>215</v>
      </c>
      <c r="J413" t="s">
        <v>915</v>
      </c>
      <c r="K413" t="s">
        <v>67</v>
      </c>
      <c r="L413">
        <v>50</v>
      </c>
      <c r="M413">
        <v>-1</v>
      </c>
      <c r="N413" t="s">
        <v>31</v>
      </c>
      <c r="O413" t="s">
        <v>916</v>
      </c>
      <c r="P413" t="s">
        <v>917</v>
      </c>
      <c r="Q413" t="s">
        <v>378</v>
      </c>
      <c r="R413" t="s">
        <v>39</v>
      </c>
    </row>
    <row r="414" spans="1:18">
      <c r="A414">
        <v>423</v>
      </c>
      <c r="B414" t="s">
        <v>18</v>
      </c>
      <c r="C414">
        <v>124</v>
      </c>
      <c r="D414">
        <v>198</v>
      </c>
      <c r="E414">
        <v>3.9</v>
      </c>
      <c r="F414" t="s">
        <v>768</v>
      </c>
      <c r="G414" t="s">
        <v>769</v>
      </c>
      <c r="H414" t="s">
        <v>466</v>
      </c>
      <c r="I414" t="s">
        <v>467</v>
      </c>
      <c r="J414" t="s">
        <v>645</v>
      </c>
      <c r="K414" t="s">
        <v>23</v>
      </c>
      <c r="L414">
        <v>5000</v>
      </c>
      <c r="M414">
        <v>2005</v>
      </c>
      <c r="N414" t="s">
        <v>50</v>
      </c>
      <c r="O414" t="s">
        <v>41</v>
      </c>
      <c r="P414" t="s">
        <v>38</v>
      </c>
      <c r="Q414" t="s">
        <v>126</v>
      </c>
      <c r="R414" t="s">
        <v>770</v>
      </c>
    </row>
    <row r="415" spans="1:18">
      <c r="A415">
        <v>424</v>
      </c>
      <c r="B415" t="s">
        <v>18</v>
      </c>
      <c r="C415">
        <v>124</v>
      </c>
      <c r="D415">
        <v>198</v>
      </c>
      <c r="E415">
        <v>3.4</v>
      </c>
      <c r="F415" t="s">
        <v>918</v>
      </c>
      <c r="G415" t="s">
        <v>919</v>
      </c>
      <c r="H415" t="s">
        <v>21</v>
      </c>
      <c r="I415" t="s">
        <v>20</v>
      </c>
      <c r="J415" t="s">
        <v>677</v>
      </c>
      <c r="K415" t="s">
        <v>546</v>
      </c>
      <c r="M415">
        <v>-1</v>
      </c>
      <c r="N415" t="s">
        <v>31</v>
      </c>
      <c r="O415" t="s">
        <v>39</v>
      </c>
      <c r="P415">
        <v>-1</v>
      </c>
      <c r="Q415" t="s">
        <v>27</v>
      </c>
      <c r="R415" t="s">
        <v>39</v>
      </c>
    </row>
    <row r="416" spans="1:18">
      <c r="A416">
        <v>425</v>
      </c>
      <c r="B416" t="s">
        <v>18</v>
      </c>
      <c r="C416">
        <v>124</v>
      </c>
      <c r="D416">
        <v>198</v>
      </c>
      <c r="E416">
        <v>-1</v>
      </c>
      <c r="F416" t="s">
        <v>774</v>
      </c>
      <c r="G416" t="s">
        <v>20</v>
      </c>
      <c r="H416" t="s">
        <v>21</v>
      </c>
      <c r="I416" t="s">
        <v>20</v>
      </c>
      <c r="J416" t="s">
        <v>148</v>
      </c>
      <c r="K416" t="s">
        <v>67</v>
      </c>
      <c r="L416">
        <v>50</v>
      </c>
      <c r="M416">
        <v>-1</v>
      </c>
      <c r="N416" t="s">
        <v>31</v>
      </c>
      <c r="O416" t="s">
        <v>75</v>
      </c>
      <c r="P416" t="s">
        <v>33</v>
      </c>
      <c r="Q416" t="s">
        <v>68</v>
      </c>
      <c r="R416" t="s">
        <v>39</v>
      </c>
    </row>
    <row r="417" spans="1:18">
      <c r="A417">
        <v>426</v>
      </c>
      <c r="B417" t="s">
        <v>18</v>
      </c>
      <c r="C417">
        <v>124</v>
      </c>
      <c r="D417">
        <v>198</v>
      </c>
      <c r="E417">
        <v>4.0999999999999996</v>
      </c>
      <c r="F417" t="s">
        <v>567</v>
      </c>
      <c r="G417" t="s">
        <v>60</v>
      </c>
      <c r="H417" t="s">
        <v>46</v>
      </c>
      <c r="I417" t="s">
        <v>47</v>
      </c>
      <c r="J417" t="s">
        <v>568</v>
      </c>
      <c r="K417" t="s">
        <v>30</v>
      </c>
      <c r="L417">
        <v>200</v>
      </c>
      <c r="M417">
        <v>2008</v>
      </c>
      <c r="N417" t="s">
        <v>31</v>
      </c>
      <c r="O417" t="s">
        <v>75</v>
      </c>
      <c r="P417" t="s">
        <v>33</v>
      </c>
      <c r="Q417" t="s">
        <v>140</v>
      </c>
      <c r="R417" t="s">
        <v>39</v>
      </c>
    </row>
    <row r="418" spans="1:18">
      <c r="A418">
        <v>427</v>
      </c>
      <c r="B418" t="s">
        <v>18</v>
      </c>
      <c r="C418">
        <v>79</v>
      </c>
      <c r="D418">
        <v>133</v>
      </c>
      <c r="E418">
        <v>3.7</v>
      </c>
      <c r="F418" t="s">
        <v>290</v>
      </c>
      <c r="G418" t="s">
        <v>20</v>
      </c>
      <c r="H418" t="s">
        <v>21</v>
      </c>
      <c r="I418" t="s">
        <v>20</v>
      </c>
      <c r="J418" t="s">
        <v>22</v>
      </c>
      <c r="K418" t="s">
        <v>56</v>
      </c>
      <c r="L418">
        <v>1000</v>
      </c>
      <c r="M418">
        <v>2012</v>
      </c>
      <c r="N418" t="s">
        <v>31</v>
      </c>
      <c r="O418" t="s">
        <v>41</v>
      </c>
      <c r="P418" t="s">
        <v>38</v>
      </c>
      <c r="Q418" t="s">
        <v>27</v>
      </c>
      <c r="R418" t="s">
        <v>39</v>
      </c>
    </row>
    <row r="419" spans="1:18">
      <c r="A419">
        <v>428</v>
      </c>
      <c r="B419" t="s">
        <v>18</v>
      </c>
      <c r="C419">
        <v>79</v>
      </c>
      <c r="D419">
        <v>133</v>
      </c>
      <c r="E419">
        <v>3.5</v>
      </c>
      <c r="F419" t="s">
        <v>262</v>
      </c>
      <c r="G419" t="s">
        <v>172</v>
      </c>
      <c r="H419" t="s">
        <v>173</v>
      </c>
      <c r="I419" t="s">
        <v>174</v>
      </c>
      <c r="J419" t="s">
        <v>175</v>
      </c>
      <c r="K419" t="s">
        <v>106</v>
      </c>
      <c r="L419">
        <v>500</v>
      </c>
      <c r="M419">
        <v>2012</v>
      </c>
      <c r="N419" t="s">
        <v>31</v>
      </c>
      <c r="O419" t="s">
        <v>86</v>
      </c>
      <c r="P419" t="s">
        <v>86</v>
      </c>
      <c r="Q419" t="s">
        <v>68</v>
      </c>
      <c r="R419" t="s">
        <v>39</v>
      </c>
    </row>
    <row r="420" spans="1:18">
      <c r="A420">
        <v>429</v>
      </c>
      <c r="B420" t="s">
        <v>18</v>
      </c>
      <c r="C420">
        <v>79</v>
      </c>
      <c r="D420">
        <v>133</v>
      </c>
      <c r="E420">
        <v>4.5999999999999996</v>
      </c>
      <c r="F420" t="s">
        <v>775</v>
      </c>
      <c r="G420" t="s">
        <v>776</v>
      </c>
      <c r="H420" t="s">
        <v>120</v>
      </c>
      <c r="I420" t="s">
        <v>121</v>
      </c>
      <c r="J420" t="s">
        <v>211</v>
      </c>
      <c r="K420" t="s">
        <v>30</v>
      </c>
      <c r="L420">
        <v>200</v>
      </c>
      <c r="M420">
        <v>-1</v>
      </c>
      <c r="N420" t="s">
        <v>31</v>
      </c>
      <c r="O420" t="s">
        <v>75</v>
      </c>
      <c r="P420" t="s">
        <v>33</v>
      </c>
      <c r="Q420" t="s">
        <v>359</v>
      </c>
      <c r="R420" t="s">
        <v>39</v>
      </c>
    </row>
    <row r="421" spans="1:18">
      <c r="A421">
        <v>430</v>
      </c>
      <c r="B421" t="s">
        <v>18</v>
      </c>
      <c r="C421">
        <v>79</v>
      </c>
      <c r="D421">
        <v>133</v>
      </c>
      <c r="E421">
        <v>-1</v>
      </c>
      <c r="F421" t="s">
        <v>920</v>
      </c>
      <c r="G421" t="s">
        <v>570</v>
      </c>
      <c r="H421" t="s">
        <v>46</v>
      </c>
      <c r="I421" t="s">
        <v>47</v>
      </c>
      <c r="J421" t="s">
        <v>194</v>
      </c>
      <c r="K421" t="s">
        <v>546</v>
      </c>
      <c r="M421">
        <v>-1</v>
      </c>
      <c r="N421" t="s">
        <v>50</v>
      </c>
      <c r="O421" t="s">
        <v>39</v>
      </c>
      <c r="P421">
        <v>-1</v>
      </c>
      <c r="Q421" t="s">
        <v>27</v>
      </c>
      <c r="R421" t="s">
        <v>39</v>
      </c>
    </row>
    <row r="422" spans="1:18">
      <c r="A422">
        <v>431</v>
      </c>
      <c r="B422" t="s">
        <v>18</v>
      </c>
      <c r="C422">
        <v>79</v>
      </c>
      <c r="D422">
        <v>133</v>
      </c>
      <c r="E422">
        <v>-1</v>
      </c>
      <c r="F422" t="s">
        <v>780</v>
      </c>
      <c r="G422" t="s">
        <v>521</v>
      </c>
      <c r="H422" t="s">
        <v>259</v>
      </c>
      <c r="I422" t="s">
        <v>260</v>
      </c>
      <c r="J422" t="s">
        <v>781</v>
      </c>
      <c r="K422" t="s">
        <v>67</v>
      </c>
      <c r="L422">
        <v>50</v>
      </c>
      <c r="M422">
        <v>-1</v>
      </c>
      <c r="N422" t="s">
        <v>31</v>
      </c>
      <c r="O422" t="s">
        <v>39</v>
      </c>
      <c r="P422">
        <v>-1</v>
      </c>
      <c r="Q422" t="s">
        <v>27</v>
      </c>
      <c r="R422" t="s">
        <v>39</v>
      </c>
    </row>
    <row r="423" spans="1:18">
      <c r="A423">
        <v>432</v>
      </c>
      <c r="B423" t="s">
        <v>195</v>
      </c>
      <c r="C423">
        <v>79</v>
      </c>
      <c r="D423">
        <v>133</v>
      </c>
      <c r="E423">
        <v>4.4000000000000004</v>
      </c>
      <c r="F423" t="s">
        <v>573</v>
      </c>
      <c r="G423" t="s">
        <v>129</v>
      </c>
      <c r="H423" t="s">
        <v>120</v>
      </c>
      <c r="I423" t="s">
        <v>121</v>
      </c>
      <c r="J423" t="s">
        <v>36</v>
      </c>
      <c r="K423" t="s">
        <v>30</v>
      </c>
      <c r="L423">
        <v>200</v>
      </c>
      <c r="M423">
        <v>2008</v>
      </c>
      <c r="N423" t="s">
        <v>31</v>
      </c>
      <c r="O423" t="s">
        <v>37</v>
      </c>
      <c r="P423" t="s">
        <v>38</v>
      </c>
      <c r="Q423" t="s">
        <v>198</v>
      </c>
      <c r="R423" t="s">
        <v>39</v>
      </c>
    </row>
    <row r="424" spans="1:18">
      <c r="A424">
        <v>433</v>
      </c>
      <c r="B424" t="s">
        <v>18</v>
      </c>
      <c r="C424">
        <v>79</v>
      </c>
      <c r="D424">
        <v>133</v>
      </c>
      <c r="E424">
        <v>3.6</v>
      </c>
      <c r="F424" t="s">
        <v>921</v>
      </c>
      <c r="G424" t="s">
        <v>922</v>
      </c>
      <c r="H424" t="s">
        <v>331</v>
      </c>
      <c r="I424" t="s">
        <v>332</v>
      </c>
      <c r="J424" t="s">
        <v>923</v>
      </c>
      <c r="K424" t="s">
        <v>30</v>
      </c>
      <c r="L424">
        <v>200</v>
      </c>
      <c r="M424">
        <v>-1</v>
      </c>
      <c r="N424" t="s">
        <v>31</v>
      </c>
      <c r="O424" t="s">
        <v>98</v>
      </c>
      <c r="P424" t="s">
        <v>38</v>
      </c>
      <c r="Q424" t="s">
        <v>27</v>
      </c>
      <c r="R424" t="s">
        <v>924</v>
      </c>
    </row>
    <row r="425" spans="1:18">
      <c r="A425">
        <v>434</v>
      </c>
      <c r="B425" t="s">
        <v>18</v>
      </c>
      <c r="C425">
        <v>79</v>
      </c>
      <c r="D425">
        <v>133</v>
      </c>
      <c r="E425">
        <v>3.1</v>
      </c>
      <c r="F425" t="s">
        <v>925</v>
      </c>
      <c r="G425" t="s">
        <v>926</v>
      </c>
      <c r="H425" t="s">
        <v>234</v>
      </c>
      <c r="I425" t="s">
        <v>235</v>
      </c>
      <c r="J425" t="s">
        <v>927</v>
      </c>
      <c r="K425" t="s">
        <v>85</v>
      </c>
      <c r="M425">
        <v>1956</v>
      </c>
      <c r="N425" t="s">
        <v>50</v>
      </c>
      <c r="O425" t="s">
        <v>928</v>
      </c>
      <c r="P425" t="s">
        <v>267</v>
      </c>
      <c r="Q425" t="s">
        <v>126</v>
      </c>
      <c r="R425" t="s">
        <v>39</v>
      </c>
    </row>
    <row r="426" spans="1:18">
      <c r="A426">
        <v>435</v>
      </c>
      <c r="B426" t="s">
        <v>18</v>
      </c>
      <c r="C426">
        <v>79</v>
      </c>
      <c r="D426">
        <v>133</v>
      </c>
      <c r="E426">
        <v>5</v>
      </c>
      <c r="F426" t="s">
        <v>929</v>
      </c>
      <c r="G426" t="s">
        <v>60</v>
      </c>
      <c r="H426" t="s">
        <v>46</v>
      </c>
      <c r="I426" t="s">
        <v>47</v>
      </c>
      <c r="J426" t="s">
        <v>368</v>
      </c>
      <c r="K426" t="s">
        <v>67</v>
      </c>
      <c r="L426">
        <v>50</v>
      </c>
      <c r="M426">
        <v>-1</v>
      </c>
      <c r="N426" t="s">
        <v>31</v>
      </c>
      <c r="O426" t="s">
        <v>39</v>
      </c>
      <c r="P426">
        <v>-1</v>
      </c>
      <c r="Q426" t="s">
        <v>68</v>
      </c>
      <c r="R426" t="s">
        <v>39</v>
      </c>
    </row>
    <row r="427" spans="1:18">
      <c r="A427">
        <v>436</v>
      </c>
      <c r="B427" t="s">
        <v>18</v>
      </c>
      <c r="C427">
        <v>79</v>
      </c>
      <c r="D427">
        <v>133</v>
      </c>
      <c r="E427">
        <v>5</v>
      </c>
      <c r="F427" t="s">
        <v>930</v>
      </c>
      <c r="G427" t="s">
        <v>931</v>
      </c>
      <c r="H427" t="s">
        <v>46</v>
      </c>
      <c r="I427" t="s">
        <v>47</v>
      </c>
      <c r="J427" t="s">
        <v>932</v>
      </c>
      <c r="K427" t="s">
        <v>67</v>
      </c>
      <c r="L427">
        <v>50</v>
      </c>
      <c r="M427">
        <v>2018</v>
      </c>
      <c r="N427" t="s">
        <v>31</v>
      </c>
      <c r="O427" t="s">
        <v>270</v>
      </c>
      <c r="P427" t="s">
        <v>33</v>
      </c>
      <c r="Q427" t="s">
        <v>27</v>
      </c>
      <c r="R427" t="s">
        <v>39</v>
      </c>
    </row>
    <row r="428" spans="1:18">
      <c r="A428">
        <v>437</v>
      </c>
      <c r="B428" t="s">
        <v>18</v>
      </c>
      <c r="C428">
        <v>79</v>
      </c>
      <c r="D428">
        <v>133</v>
      </c>
      <c r="E428">
        <v>-1</v>
      </c>
      <c r="F428" t="s">
        <v>789</v>
      </c>
      <c r="G428" t="s">
        <v>367</v>
      </c>
      <c r="H428" t="s">
        <v>46</v>
      </c>
      <c r="I428" t="s">
        <v>47</v>
      </c>
      <c r="J428" t="s">
        <v>790</v>
      </c>
      <c r="K428" t="s">
        <v>30</v>
      </c>
      <c r="L428">
        <v>200</v>
      </c>
      <c r="M428">
        <v>-1</v>
      </c>
      <c r="N428" t="s">
        <v>31</v>
      </c>
      <c r="O428" t="s">
        <v>98</v>
      </c>
      <c r="P428" t="s">
        <v>38</v>
      </c>
      <c r="Q428" t="s">
        <v>27</v>
      </c>
      <c r="R428" t="s">
        <v>39</v>
      </c>
    </row>
    <row r="429" spans="1:18">
      <c r="A429">
        <v>438</v>
      </c>
      <c r="B429" t="s">
        <v>18</v>
      </c>
      <c r="C429">
        <v>79</v>
      </c>
      <c r="D429">
        <v>133</v>
      </c>
      <c r="E429">
        <v>-1</v>
      </c>
      <c r="F429" t="s">
        <v>933</v>
      </c>
      <c r="G429" t="s">
        <v>192</v>
      </c>
      <c r="H429" t="s">
        <v>112</v>
      </c>
      <c r="I429" t="s">
        <v>193</v>
      </c>
      <c r="J429" t="s">
        <v>934</v>
      </c>
      <c r="K429" t="s">
        <v>67</v>
      </c>
      <c r="L429">
        <v>50</v>
      </c>
      <c r="M429">
        <v>-1</v>
      </c>
      <c r="N429" t="s">
        <v>31</v>
      </c>
      <c r="O429" t="s">
        <v>39</v>
      </c>
      <c r="P429">
        <v>-1</v>
      </c>
      <c r="Q429" t="s">
        <v>27</v>
      </c>
      <c r="R429" t="s">
        <v>39</v>
      </c>
    </row>
    <row r="430" spans="1:18">
      <c r="A430">
        <v>439</v>
      </c>
      <c r="B430" t="s">
        <v>18</v>
      </c>
      <c r="C430">
        <v>79</v>
      </c>
      <c r="D430">
        <v>133</v>
      </c>
      <c r="E430">
        <v>3.5</v>
      </c>
      <c r="F430" t="s">
        <v>935</v>
      </c>
      <c r="G430" t="s">
        <v>537</v>
      </c>
      <c r="H430" t="s">
        <v>120</v>
      </c>
      <c r="I430" t="s">
        <v>121</v>
      </c>
      <c r="J430" t="s">
        <v>538</v>
      </c>
      <c r="K430" t="s">
        <v>106</v>
      </c>
      <c r="L430">
        <v>500</v>
      </c>
      <c r="M430">
        <v>2014</v>
      </c>
      <c r="N430" t="s">
        <v>31</v>
      </c>
      <c r="O430" t="s">
        <v>936</v>
      </c>
      <c r="P430" t="s">
        <v>802</v>
      </c>
      <c r="Q430" t="s">
        <v>27</v>
      </c>
      <c r="R430" t="s">
        <v>39</v>
      </c>
    </row>
    <row r="431" spans="1:18">
      <c r="A431">
        <v>440</v>
      </c>
      <c r="B431" t="s">
        <v>18</v>
      </c>
      <c r="C431">
        <v>79</v>
      </c>
      <c r="D431">
        <v>133</v>
      </c>
      <c r="E431">
        <v>-1</v>
      </c>
      <c r="F431" t="s">
        <v>937</v>
      </c>
      <c r="G431" t="s">
        <v>70</v>
      </c>
      <c r="H431" t="s">
        <v>71</v>
      </c>
      <c r="I431" t="s">
        <v>72</v>
      </c>
      <c r="J431" t="s">
        <v>73</v>
      </c>
      <c r="K431" t="s">
        <v>67</v>
      </c>
      <c r="L431">
        <v>50</v>
      </c>
      <c r="M431">
        <v>-1</v>
      </c>
      <c r="N431" t="s">
        <v>74</v>
      </c>
      <c r="O431" t="s">
        <v>204</v>
      </c>
      <c r="P431" t="s">
        <v>205</v>
      </c>
      <c r="Q431" t="s">
        <v>378</v>
      </c>
      <c r="R431" t="s">
        <v>39</v>
      </c>
    </row>
    <row r="432" spans="1:18">
      <c r="A432">
        <v>441</v>
      </c>
      <c r="B432" t="s">
        <v>18</v>
      </c>
      <c r="C432">
        <v>79</v>
      </c>
      <c r="D432">
        <v>133</v>
      </c>
      <c r="E432">
        <v>5</v>
      </c>
      <c r="F432" t="s">
        <v>938</v>
      </c>
      <c r="G432" t="s">
        <v>939</v>
      </c>
      <c r="H432" t="s">
        <v>46</v>
      </c>
      <c r="I432" t="s">
        <v>47</v>
      </c>
      <c r="J432" t="s">
        <v>940</v>
      </c>
      <c r="K432" t="s">
        <v>67</v>
      </c>
      <c r="L432">
        <v>50</v>
      </c>
      <c r="M432">
        <v>-1</v>
      </c>
      <c r="N432" t="s">
        <v>50</v>
      </c>
      <c r="O432" t="s">
        <v>39</v>
      </c>
      <c r="P432">
        <v>-1</v>
      </c>
      <c r="Q432" t="s">
        <v>27</v>
      </c>
      <c r="R432" t="s">
        <v>39</v>
      </c>
    </row>
    <row r="433" spans="1:18">
      <c r="A433">
        <v>442</v>
      </c>
      <c r="B433" t="s">
        <v>18</v>
      </c>
      <c r="C433">
        <v>79</v>
      </c>
      <c r="D433">
        <v>133</v>
      </c>
      <c r="E433">
        <v>2.7</v>
      </c>
      <c r="F433" t="s">
        <v>941</v>
      </c>
      <c r="G433" t="s">
        <v>942</v>
      </c>
      <c r="H433" t="s">
        <v>153</v>
      </c>
      <c r="I433" t="s">
        <v>154</v>
      </c>
      <c r="J433" t="s">
        <v>943</v>
      </c>
      <c r="K433" t="s">
        <v>85</v>
      </c>
      <c r="M433">
        <v>2007</v>
      </c>
      <c r="N433" t="s">
        <v>50</v>
      </c>
      <c r="O433" t="s">
        <v>98</v>
      </c>
      <c r="P433" t="s">
        <v>38</v>
      </c>
      <c r="Q433" t="s">
        <v>27</v>
      </c>
      <c r="R433" t="s">
        <v>39</v>
      </c>
    </row>
    <row r="434" spans="1:18">
      <c r="A434">
        <v>443</v>
      </c>
      <c r="B434" t="s">
        <v>18</v>
      </c>
      <c r="C434">
        <v>79</v>
      </c>
      <c r="D434">
        <v>133</v>
      </c>
      <c r="E434">
        <v>4.0999999999999996</v>
      </c>
      <c r="F434" t="s">
        <v>944</v>
      </c>
      <c r="G434" t="s">
        <v>745</v>
      </c>
      <c r="H434" t="s">
        <v>46</v>
      </c>
      <c r="I434" t="s">
        <v>47</v>
      </c>
      <c r="J434" t="s">
        <v>945</v>
      </c>
      <c r="K434" t="s">
        <v>23</v>
      </c>
      <c r="L434">
        <v>5000</v>
      </c>
      <c r="M434">
        <v>1977</v>
      </c>
      <c r="N434" t="s">
        <v>31</v>
      </c>
      <c r="O434" t="s">
        <v>51</v>
      </c>
      <c r="P434" t="s">
        <v>33</v>
      </c>
      <c r="Q434" t="s">
        <v>42</v>
      </c>
      <c r="R434" t="s">
        <v>39</v>
      </c>
    </row>
    <row r="435" spans="1:18">
      <c r="A435">
        <v>444</v>
      </c>
      <c r="B435" t="s">
        <v>18</v>
      </c>
      <c r="C435">
        <v>79</v>
      </c>
      <c r="D435">
        <v>133</v>
      </c>
      <c r="E435">
        <v>2.1</v>
      </c>
      <c r="F435" t="s">
        <v>946</v>
      </c>
      <c r="G435" t="s">
        <v>129</v>
      </c>
      <c r="H435" t="s">
        <v>120</v>
      </c>
      <c r="I435" t="s">
        <v>121</v>
      </c>
      <c r="J435" t="s">
        <v>891</v>
      </c>
      <c r="K435" t="s">
        <v>546</v>
      </c>
      <c r="M435">
        <v>2019</v>
      </c>
      <c r="N435" t="s">
        <v>31</v>
      </c>
      <c r="O435" t="s">
        <v>430</v>
      </c>
      <c r="P435" t="s">
        <v>431</v>
      </c>
      <c r="Q435" t="s">
        <v>27</v>
      </c>
      <c r="R435" t="s">
        <v>39</v>
      </c>
    </row>
    <row r="436" spans="1:18">
      <c r="A436">
        <v>445</v>
      </c>
      <c r="B436" t="s">
        <v>103</v>
      </c>
      <c r="C436">
        <v>79</v>
      </c>
      <c r="D436">
        <v>133</v>
      </c>
      <c r="E436">
        <v>4.8</v>
      </c>
      <c r="F436" t="s">
        <v>794</v>
      </c>
      <c r="G436" t="s">
        <v>20</v>
      </c>
      <c r="H436" t="s">
        <v>21</v>
      </c>
      <c r="I436" t="s">
        <v>20</v>
      </c>
      <c r="J436" t="s">
        <v>22</v>
      </c>
      <c r="K436" t="s">
        <v>56</v>
      </c>
      <c r="L436">
        <v>1000</v>
      </c>
      <c r="M436">
        <v>2000</v>
      </c>
      <c r="N436" t="s">
        <v>31</v>
      </c>
      <c r="O436" t="s">
        <v>101</v>
      </c>
      <c r="P436" t="s">
        <v>102</v>
      </c>
      <c r="Q436" t="s">
        <v>27</v>
      </c>
      <c r="R436" t="s">
        <v>39</v>
      </c>
    </row>
    <row r="437" spans="1:18">
      <c r="A437">
        <v>446</v>
      </c>
      <c r="B437" t="s">
        <v>18</v>
      </c>
      <c r="C437">
        <v>69</v>
      </c>
      <c r="D437">
        <v>116</v>
      </c>
      <c r="E437">
        <v>4.5</v>
      </c>
      <c r="F437" t="s">
        <v>269</v>
      </c>
      <c r="G437" t="s">
        <v>172</v>
      </c>
      <c r="H437" t="s">
        <v>173</v>
      </c>
      <c r="I437" t="s">
        <v>174</v>
      </c>
      <c r="J437" t="s">
        <v>175</v>
      </c>
      <c r="K437" t="s">
        <v>106</v>
      </c>
      <c r="L437">
        <v>500</v>
      </c>
      <c r="M437">
        <v>1994</v>
      </c>
      <c r="N437" t="s">
        <v>31</v>
      </c>
      <c r="O437" t="s">
        <v>270</v>
      </c>
      <c r="P437" t="s">
        <v>33</v>
      </c>
      <c r="Q437" t="s">
        <v>64</v>
      </c>
      <c r="R437" t="s">
        <v>39</v>
      </c>
    </row>
    <row r="438" spans="1:18">
      <c r="A438">
        <v>447</v>
      </c>
      <c r="B438" t="s">
        <v>18</v>
      </c>
      <c r="C438">
        <v>69</v>
      </c>
      <c r="D438">
        <v>116</v>
      </c>
      <c r="E438">
        <v>4</v>
      </c>
      <c r="F438" t="s">
        <v>305</v>
      </c>
      <c r="G438" t="s">
        <v>129</v>
      </c>
      <c r="H438" t="s">
        <v>120</v>
      </c>
      <c r="I438" t="s">
        <v>121</v>
      </c>
      <c r="J438" t="s">
        <v>306</v>
      </c>
      <c r="K438" t="s">
        <v>49</v>
      </c>
      <c r="L438">
        <v>10000</v>
      </c>
      <c r="M438">
        <v>1982</v>
      </c>
      <c r="N438" t="s">
        <v>50</v>
      </c>
      <c r="O438" t="s">
        <v>37</v>
      </c>
      <c r="P438" t="s">
        <v>38</v>
      </c>
      <c r="Q438" t="s">
        <v>126</v>
      </c>
      <c r="R438" t="s">
        <v>39</v>
      </c>
    </row>
    <row r="439" spans="1:18">
      <c r="A439">
        <v>448</v>
      </c>
      <c r="B439" t="s">
        <v>18</v>
      </c>
      <c r="C439">
        <v>69</v>
      </c>
      <c r="D439">
        <v>116</v>
      </c>
      <c r="E439">
        <v>3.3</v>
      </c>
      <c r="F439" t="s">
        <v>947</v>
      </c>
      <c r="G439" t="s">
        <v>836</v>
      </c>
      <c r="H439" t="s">
        <v>244</v>
      </c>
      <c r="I439" t="s">
        <v>245</v>
      </c>
      <c r="J439" t="s">
        <v>948</v>
      </c>
      <c r="K439" t="s">
        <v>85</v>
      </c>
      <c r="M439">
        <v>-1</v>
      </c>
      <c r="N439" t="s">
        <v>24</v>
      </c>
      <c r="O439" t="s">
        <v>204</v>
      </c>
      <c r="P439" t="s">
        <v>205</v>
      </c>
      <c r="Q439" t="s">
        <v>217</v>
      </c>
      <c r="R439" t="s">
        <v>39</v>
      </c>
    </row>
    <row r="440" spans="1:18">
      <c r="A440">
        <v>449</v>
      </c>
      <c r="B440" t="s">
        <v>18</v>
      </c>
      <c r="C440">
        <v>69</v>
      </c>
      <c r="D440">
        <v>116</v>
      </c>
      <c r="E440">
        <v>3.9</v>
      </c>
      <c r="F440" t="s">
        <v>82</v>
      </c>
      <c r="G440" t="s">
        <v>83</v>
      </c>
      <c r="H440" t="s">
        <v>71</v>
      </c>
      <c r="I440" t="s">
        <v>72</v>
      </c>
      <c r="J440" t="s">
        <v>84</v>
      </c>
      <c r="K440" t="s">
        <v>85</v>
      </c>
      <c r="M440">
        <v>1996</v>
      </c>
      <c r="N440" t="s">
        <v>50</v>
      </c>
      <c r="O440" t="s">
        <v>86</v>
      </c>
      <c r="P440" t="s">
        <v>86</v>
      </c>
      <c r="Q440" t="s">
        <v>87</v>
      </c>
      <c r="R440" t="s">
        <v>39</v>
      </c>
    </row>
    <row r="441" spans="1:18">
      <c r="A441">
        <v>450</v>
      </c>
      <c r="B441" t="s">
        <v>18</v>
      </c>
      <c r="C441">
        <v>69</v>
      </c>
      <c r="D441">
        <v>116</v>
      </c>
      <c r="E441">
        <v>3.2</v>
      </c>
      <c r="F441" t="s">
        <v>949</v>
      </c>
      <c r="G441" t="s">
        <v>950</v>
      </c>
      <c r="H441" t="s">
        <v>168</v>
      </c>
      <c r="I441" t="s">
        <v>169</v>
      </c>
      <c r="J441" t="s">
        <v>783</v>
      </c>
      <c r="K441" t="s">
        <v>23</v>
      </c>
      <c r="L441">
        <v>5000</v>
      </c>
      <c r="M441">
        <v>2007</v>
      </c>
      <c r="N441" t="s">
        <v>31</v>
      </c>
      <c r="O441" t="s">
        <v>270</v>
      </c>
      <c r="P441" t="s">
        <v>33</v>
      </c>
      <c r="Q441" t="s">
        <v>42</v>
      </c>
      <c r="R441" t="s">
        <v>39</v>
      </c>
    </row>
    <row r="442" spans="1:18">
      <c r="A442">
        <v>451</v>
      </c>
      <c r="B442" t="s">
        <v>18</v>
      </c>
      <c r="C442">
        <v>69</v>
      </c>
      <c r="D442">
        <v>116</v>
      </c>
      <c r="E442">
        <v>3.2</v>
      </c>
      <c r="F442" t="s">
        <v>951</v>
      </c>
      <c r="G442" t="s">
        <v>952</v>
      </c>
      <c r="H442" t="s">
        <v>342</v>
      </c>
      <c r="I442" t="s">
        <v>343</v>
      </c>
      <c r="J442" t="s">
        <v>953</v>
      </c>
      <c r="K442" t="s">
        <v>23</v>
      </c>
      <c r="L442">
        <v>5000</v>
      </c>
      <c r="M442">
        <v>2009</v>
      </c>
      <c r="N442" t="s">
        <v>50</v>
      </c>
      <c r="O442" t="s">
        <v>41</v>
      </c>
      <c r="P442" t="s">
        <v>38</v>
      </c>
      <c r="Q442" t="s">
        <v>27</v>
      </c>
      <c r="R442" t="s">
        <v>39</v>
      </c>
    </row>
    <row r="443" spans="1:18">
      <c r="A443">
        <v>452</v>
      </c>
      <c r="B443" t="s">
        <v>18</v>
      </c>
      <c r="C443">
        <v>69</v>
      </c>
      <c r="D443">
        <v>116</v>
      </c>
      <c r="E443">
        <v>3.7</v>
      </c>
      <c r="F443" t="s">
        <v>954</v>
      </c>
      <c r="G443" t="s">
        <v>167</v>
      </c>
      <c r="H443" t="s">
        <v>168</v>
      </c>
      <c r="I443" t="s">
        <v>169</v>
      </c>
      <c r="J443" t="s">
        <v>955</v>
      </c>
      <c r="K443" t="s">
        <v>85</v>
      </c>
      <c r="M443">
        <v>1911</v>
      </c>
      <c r="N443" t="s">
        <v>50</v>
      </c>
      <c r="O443" t="s">
        <v>98</v>
      </c>
      <c r="P443" t="s">
        <v>38</v>
      </c>
      <c r="Q443" t="s">
        <v>87</v>
      </c>
      <c r="R443" t="s">
        <v>956</v>
      </c>
    </row>
    <row r="444" spans="1:18">
      <c r="A444">
        <v>453</v>
      </c>
      <c r="B444" t="s">
        <v>18</v>
      </c>
      <c r="C444">
        <v>69</v>
      </c>
      <c r="D444">
        <v>116</v>
      </c>
      <c r="E444">
        <v>4.4000000000000004</v>
      </c>
      <c r="F444" t="s">
        <v>957</v>
      </c>
      <c r="G444" t="s">
        <v>831</v>
      </c>
      <c r="H444" t="s">
        <v>46</v>
      </c>
      <c r="I444" t="s">
        <v>47</v>
      </c>
      <c r="J444" t="s">
        <v>496</v>
      </c>
      <c r="K444" t="s">
        <v>30</v>
      </c>
      <c r="L444">
        <v>200</v>
      </c>
      <c r="M444">
        <v>2007</v>
      </c>
      <c r="N444" t="s">
        <v>31</v>
      </c>
      <c r="O444" t="s">
        <v>75</v>
      </c>
      <c r="P444" t="s">
        <v>33</v>
      </c>
      <c r="Q444" t="s">
        <v>64</v>
      </c>
      <c r="R444" t="s">
        <v>958</v>
      </c>
    </row>
    <row r="445" spans="1:18">
      <c r="A445">
        <v>454</v>
      </c>
      <c r="B445" t="s">
        <v>18</v>
      </c>
      <c r="C445">
        <v>69</v>
      </c>
      <c r="D445">
        <v>116</v>
      </c>
      <c r="E445">
        <v>3.1</v>
      </c>
      <c r="F445" t="s">
        <v>959</v>
      </c>
      <c r="G445" t="s">
        <v>960</v>
      </c>
      <c r="H445" t="s">
        <v>120</v>
      </c>
      <c r="I445" t="s">
        <v>121</v>
      </c>
      <c r="J445" t="s">
        <v>549</v>
      </c>
      <c r="K445" t="s">
        <v>67</v>
      </c>
      <c r="L445">
        <v>50</v>
      </c>
      <c r="M445">
        <v>2009</v>
      </c>
      <c r="N445" t="s">
        <v>31</v>
      </c>
      <c r="O445" t="s">
        <v>98</v>
      </c>
      <c r="P445" t="s">
        <v>38</v>
      </c>
      <c r="Q445" t="s">
        <v>68</v>
      </c>
      <c r="R445" t="s">
        <v>39</v>
      </c>
    </row>
    <row r="446" spans="1:18">
      <c r="A446">
        <v>455</v>
      </c>
      <c r="B446" t="s">
        <v>18</v>
      </c>
      <c r="C446">
        <v>69</v>
      </c>
      <c r="D446">
        <v>116</v>
      </c>
      <c r="E446">
        <v>3.3</v>
      </c>
      <c r="F446" t="s">
        <v>797</v>
      </c>
      <c r="G446" t="s">
        <v>798</v>
      </c>
      <c r="H446" t="s">
        <v>259</v>
      </c>
      <c r="I446" t="s">
        <v>260</v>
      </c>
      <c r="J446" t="s">
        <v>799</v>
      </c>
      <c r="K446" t="s">
        <v>85</v>
      </c>
      <c r="M446">
        <v>1880</v>
      </c>
      <c r="N446" t="s">
        <v>800</v>
      </c>
      <c r="O446" t="s">
        <v>801</v>
      </c>
      <c r="P446" t="s">
        <v>802</v>
      </c>
      <c r="Q446" t="s">
        <v>52</v>
      </c>
      <c r="R446" t="s">
        <v>803</v>
      </c>
    </row>
    <row r="447" spans="1:18">
      <c r="A447">
        <v>456</v>
      </c>
      <c r="B447" t="s">
        <v>18</v>
      </c>
      <c r="C447">
        <v>69</v>
      </c>
      <c r="D447">
        <v>116</v>
      </c>
      <c r="E447">
        <v>3.5</v>
      </c>
      <c r="F447" t="s">
        <v>961</v>
      </c>
      <c r="G447" t="s">
        <v>962</v>
      </c>
      <c r="H447" t="s">
        <v>608</v>
      </c>
      <c r="I447" t="s">
        <v>609</v>
      </c>
      <c r="J447" t="s">
        <v>963</v>
      </c>
      <c r="K447" t="s">
        <v>56</v>
      </c>
      <c r="L447">
        <v>1000</v>
      </c>
      <c r="M447">
        <v>2006</v>
      </c>
      <c r="N447" t="s">
        <v>31</v>
      </c>
      <c r="O447" t="s">
        <v>25</v>
      </c>
      <c r="P447" t="s">
        <v>26</v>
      </c>
      <c r="Q447" t="s">
        <v>198</v>
      </c>
      <c r="R447" t="s">
        <v>39</v>
      </c>
    </row>
    <row r="448" spans="1:18">
      <c r="A448">
        <v>457</v>
      </c>
      <c r="B448" t="s">
        <v>18</v>
      </c>
      <c r="C448">
        <v>69</v>
      </c>
      <c r="D448">
        <v>116</v>
      </c>
      <c r="E448">
        <v>-1</v>
      </c>
      <c r="F448" t="s">
        <v>806</v>
      </c>
      <c r="G448" t="s">
        <v>129</v>
      </c>
      <c r="H448" t="s">
        <v>120</v>
      </c>
      <c r="I448" t="s">
        <v>121</v>
      </c>
      <c r="J448" t="s">
        <v>807</v>
      </c>
      <c r="K448" t="s">
        <v>67</v>
      </c>
      <c r="L448">
        <v>50</v>
      </c>
      <c r="M448">
        <v>-1</v>
      </c>
      <c r="N448" t="s">
        <v>31</v>
      </c>
      <c r="O448" t="s">
        <v>39</v>
      </c>
      <c r="P448">
        <v>-1</v>
      </c>
      <c r="Q448" t="s">
        <v>378</v>
      </c>
      <c r="R448" t="s">
        <v>39</v>
      </c>
    </row>
    <row r="449" spans="1:18">
      <c r="A449">
        <v>458</v>
      </c>
      <c r="B449" t="s">
        <v>103</v>
      </c>
      <c r="C449">
        <v>69</v>
      </c>
      <c r="D449">
        <v>116</v>
      </c>
      <c r="E449">
        <v>2.6</v>
      </c>
      <c r="F449" t="s">
        <v>808</v>
      </c>
      <c r="G449" t="s">
        <v>701</v>
      </c>
      <c r="H449" t="s">
        <v>221</v>
      </c>
      <c r="I449" t="s">
        <v>222</v>
      </c>
      <c r="J449" t="s">
        <v>702</v>
      </c>
      <c r="K449" t="s">
        <v>56</v>
      </c>
      <c r="L449">
        <v>1000</v>
      </c>
      <c r="M449">
        <v>1984</v>
      </c>
      <c r="N449" t="s">
        <v>809</v>
      </c>
      <c r="O449" t="s">
        <v>810</v>
      </c>
      <c r="P449" t="s">
        <v>811</v>
      </c>
      <c r="Q449" t="s">
        <v>27</v>
      </c>
      <c r="R449" t="s">
        <v>39</v>
      </c>
    </row>
    <row r="450" spans="1:18">
      <c r="A450">
        <v>460</v>
      </c>
      <c r="B450" t="s">
        <v>18</v>
      </c>
      <c r="C450">
        <v>69</v>
      </c>
      <c r="D450">
        <v>116</v>
      </c>
      <c r="E450">
        <v>2.7</v>
      </c>
      <c r="F450" t="s">
        <v>964</v>
      </c>
      <c r="G450" t="s">
        <v>20</v>
      </c>
      <c r="H450" t="s">
        <v>21</v>
      </c>
      <c r="I450" t="s">
        <v>20</v>
      </c>
      <c r="J450" t="s">
        <v>22</v>
      </c>
      <c r="K450" t="s">
        <v>23</v>
      </c>
      <c r="L450">
        <v>5000</v>
      </c>
      <c r="M450">
        <v>1968</v>
      </c>
      <c r="N450" t="s">
        <v>50</v>
      </c>
      <c r="O450" t="s">
        <v>32</v>
      </c>
      <c r="P450" t="s">
        <v>33</v>
      </c>
      <c r="Q450" t="s">
        <v>42</v>
      </c>
      <c r="R450" t="s">
        <v>39</v>
      </c>
    </row>
    <row r="451" spans="1:18">
      <c r="A451">
        <v>461</v>
      </c>
      <c r="B451" t="s">
        <v>18</v>
      </c>
      <c r="C451">
        <v>69</v>
      </c>
      <c r="D451">
        <v>116</v>
      </c>
      <c r="E451">
        <v>3.5</v>
      </c>
      <c r="F451" t="s">
        <v>965</v>
      </c>
      <c r="G451" t="s">
        <v>950</v>
      </c>
      <c r="H451" t="s">
        <v>168</v>
      </c>
      <c r="I451" t="s">
        <v>169</v>
      </c>
      <c r="J451" t="s">
        <v>338</v>
      </c>
      <c r="K451" t="s">
        <v>56</v>
      </c>
      <c r="L451">
        <v>1000</v>
      </c>
      <c r="M451">
        <v>2009</v>
      </c>
      <c r="N451" t="s">
        <v>31</v>
      </c>
      <c r="O451" t="s">
        <v>75</v>
      </c>
      <c r="P451" t="s">
        <v>33</v>
      </c>
      <c r="Q451" t="s">
        <v>27</v>
      </c>
      <c r="R451" t="s">
        <v>39</v>
      </c>
    </row>
    <row r="452" spans="1:18">
      <c r="A452">
        <v>462</v>
      </c>
      <c r="B452" t="s">
        <v>18</v>
      </c>
      <c r="C452">
        <v>69</v>
      </c>
      <c r="D452">
        <v>116</v>
      </c>
      <c r="E452">
        <v>3.2</v>
      </c>
      <c r="F452" t="s">
        <v>966</v>
      </c>
      <c r="G452" t="s">
        <v>878</v>
      </c>
      <c r="H452" t="s">
        <v>221</v>
      </c>
      <c r="I452" t="s">
        <v>222</v>
      </c>
      <c r="J452" t="s">
        <v>967</v>
      </c>
      <c r="K452" t="s">
        <v>67</v>
      </c>
      <c r="L452">
        <v>50</v>
      </c>
      <c r="M452">
        <v>-1</v>
      </c>
      <c r="N452" t="s">
        <v>31</v>
      </c>
      <c r="O452" t="s">
        <v>270</v>
      </c>
      <c r="P452" t="s">
        <v>33</v>
      </c>
      <c r="Q452" t="s">
        <v>359</v>
      </c>
      <c r="R452" t="s">
        <v>39</v>
      </c>
    </row>
    <row r="453" spans="1:18">
      <c r="A453">
        <v>463</v>
      </c>
      <c r="B453" t="s">
        <v>99</v>
      </c>
      <c r="C453">
        <v>69</v>
      </c>
      <c r="D453">
        <v>116</v>
      </c>
      <c r="E453">
        <v>3.8</v>
      </c>
      <c r="F453" t="s">
        <v>281</v>
      </c>
      <c r="G453" t="s">
        <v>282</v>
      </c>
      <c r="H453" t="s">
        <v>120</v>
      </c>
      <c r="I453" t="s">
        <v>121</v>
      </c>
      <c r="J453" t="s">
        <v>283</v>
      </c>
      <c r="K453" t="s">
        <v>106</v>
      </c>
      <c r="L453">
        <v>500</v>
      </c>
      <c r="M453">
        <v>1986</v>
      </c>
      <c r="N453" t="s">
        <v>284</v>
      </c>
      <c r="O453" t="s">
        <v>285</v>
      </c>
      <c r="P453" t="s">
        <v>80</v>
      </c>
      <c r="Q453" t="s">
        <v>42</v>
      </c>
      <c r="R453" t="s">
        <v>286</v>
      </c>
    </row>
    <row r="454" spans="1:18">
      <c r="A454">
        <v>464</v>
      </c>
      <c r="B454" t="s">
        <v>18</v>
      </c>
      <c r="C454">
        <v>69</v>
      </c>
      <c r="D454">
        <v>116</v>
      </c>
      <c r="E454">
        <v>4.2</v>
      </c>
      <c r="F454" t="s">
        <v>968</v>
      </c>
      <c r="G454" t="s">
        <v>969</v>
      </c>
      <c r="H454" t="s">
        <v>120</v>
      </c>
      <c r="I454" t="s">
        <v>121</v>
      </c>
      <c r="J454" t="s">
        <v>948</v>
      </c>
      <c r="K454" t="s">
        <v>30</v>
      </c>
      <c r="L454">
        <v>200</v>
      </c>
      <c r="M454">
        <v>-1</v>
      </c>
      <c r="N454" t="s">
        <v>31</v>
      </c>
      <c r="O454" t="s">
        <v>98</v>
      </c>
      <c r="P454" t="s">
        <v>38</v>
      </c>
      <c r="Q454" t="s">
        <v>378</v>
      </c>
      <c r="R454" t="s">
        <v>39</v>
      </c>
    </row>
    <row r="455" spans="1:18">
      <c r="A455">
        <v>465</v>
      </c>
      <c r="B455" t="s">
        <v>18</v>
      </c>
      <c r="C455">
        <v>69</v>
      </c>
      <c r="D455">
        <v>116</v>
      </c>
      <c r="E455">
        <v>4.8</v>
      </c>
      <c r="F455" t="s">
        <v>812</v>
      </c>
      <c r="G455" t="s">
        <v>20</v>
      </c>
      <c r="H455" t="s">
        <v>21</v>
      </c>
      <c r="I455" t="s">
        <v>20</v>
      </c>
      <c r="J455" t="s">
        <v>813</v>
      </c>
      <c r="K455" t="s">
        <v>67</v>
      </c>
      <c r="L455">
        <v>50</v>
      </c>
      <c r="M455">
        <v>2011</v>
      </c>
      <c r="N455" t="s">
        <v>31</v>
      </c>
      <c r="O455" t="s">
        <v>98</v>
      </c>
      <c r="P455" t="s">
        <v>38</v>
      </c>
      <c r="Q455" t="s">
        <v>27</v>
      </c>
      <c r="R455" t="s">
        <v>39</v>
      </c>
    </row>
    <row r="456" spans="1:18">
      <c r="A456">
        <v>466</v>
      </c>
      <c r="B456" t="s">
        <v>18</v>
      </c>
      <c r="C456">
        <v>69</v>
      </c>
      <c r="D456">
        <v>116</v>
      </c>
      <c r="E456">
        <v>4.2</v>
      </c>
      <c r="F456" t="s">
        <v>970</v>
      </c>
      <c r="G456" t="s">
        <v>971</v>
      </c>
      <c r="H456" t="s">
        <v>331</v>
      </c>
      <c r="I456" t="s">
        <v>332</v>
      </c>
      <c r="J456" t="s">
        <v>155</v>
      </c>
      <c r="K456" t="s">
        <v>30</v>
      </c>
      <c r="L456">
        <v>200</v>
      </c>
      <c r="M456">
        <v>1989</v>
      </c>
      <c r="N456" t="s">
        <v>31</v>
      </c>
      <c r="O456" t="s">
        <v>270</v>
      </c>
      <c r="P456" t="s">
        <v>33</v>
      </c>
      <c r="Q456" t="s">
        <v>140</v>
      </c>
      <c r="R456" t="s">
        <v>39</v>
      </c>
    </row>
    <row r="457" spans="1:18">
      <c r="A457">
        <v>467</v>
      </c>
      <c r="B457" t="s">
        <v>103</v>
      </c>
      <c r="C457">
        <v>31</v>
      </c>
      <c r="D457">
        <v>56</v>
      </c>
      <c r="E457">
        <v>3.3</v>
      </c>
      <c r="F457" t="s">
        <v>295</v>
      </c>
      <c r="G457" t="s">
        <v>152</v>
      </c>
      <c r="H457" t="s">
        <v>153</v>
      </c>
      <c r="I457" t="s">
        <v>154</v>
      </c>
      <c r="J457" t="s">
        <v>155</v>
      </c>
      <c r="K457" t="s">
        <v>56</v>
      </c>
      <c r="L457">
        <v>1000</v>
      </c>
      <c r="M457">
        <v>2015</v>
      </c>
      <c r="N457" t="s">
        <v>31</v>
      </c>
      <c r="O457" t="s">
        <v>86</v>
      </c>
      <c r="P457" t="s">
        <v>86</v>
      </c>
      <c r="Q457" t="s">
        <v>27</v>
      </c>
      <c r="R457" t="s">
        <v>39</v>
      </c>
    </row>
    <row r="458" spans="1:18">
      <c r="A458">
        <v>468</v>
      </c>
      <c r="B458" t="s">
        <v>18</v>
      </c>
      <c r="C458">
        <v>31</v>
      </c>
      <c r="D458">
        <v>56</v>
      </c>
      <c r="E458">
        <v>4</v>
      </c>
      <c r="F458" t="s">
        <v>291</v>
      </c>
      <c r="G458" t="s">
        <v>292</v>
      </c>
      <c r="H458" t="s">
        <v>120</v>
      </c>
      <c r="I458" t="s">
        <v>121</v>
      </c>
      <c r="J458" t="s">
        <v>293</v>
      </c>
      <c r="K458" t="s">
        <v>23</v>
      </c>
      <c r="L458">
        <v>5000</v>
      </c>
      <c r="M458">
        <v>2006</v>
      </c>
      <c r="N458" t="s">
        <v>31</v>
      </c>
      <c r="O458" t="s">
        <v>57</v>
      </c>
      <c r="P458" t="s">
        <v>38</v>
      </c>
      <c r="Q458" t="s">
        <v>198</v>
      </c>
      <c r="R458" t="s">
        <v>294</v>
      </c>
    </row>
    <row r="459" spans="1:18">
      <c r="A459">
        <v>469</v>
      </c>
      <c r="B459" t="s">
        <v>112</v>
      </c>
      <c r="C459">
        <v>31</v>
      </c>
      <c r="D459">
        <v>56</v>
      </c>
      <c r="E459">
        <v>3.9</v>
      </c>
      <c r="F459" t="s">
        <v>814</v>
      </c>
      <c r="G459" t="s">
        <v>20</v>
      </c>
      <c r="H459" t="s">
        <v>21</v>
      </c>
      <c r="I459" t="s">
        <v>20</v>
      </c>
      <c r="J459" t="s">
        <v>22</v>
      </c>
      <c r="K459" t="s">
        <v>30</v>
      </c>
      <c r="L459">
        <v>200</v>
      </c>
      <c r="M459">
        <v>2012</v>
      </c>
      <c r="N459" t="s">
        <v>31</v>
      </c>
      <c r="O459" t="s">
        <v>51</v>
      </c>
      <c r="P459" t="s">
        <v>33</v>
      </c>
      <c r="Q459" t="s">
        <v>27</v>
      </c>
      <c r="R459" t="s">
        <v>39</v>
      </c>
    </row>
    <row r="460" spans="1:18">
      <c r="A460">
        <v>470</v>
      </c>
      <c r="B460" t="s">
        <v>112</v>
      </c>
      <c r="C460">
        <v>31</v>
      </c>
      <c r="D460">
        <v>56</v>
      </c>
      <c r="E460">
        <v>3.7</v>
      </c>
      <c r="F460" t="s">
        <v>576</v>
      </c>
      <c r="G460" t="s">
        <v>577</v>
      </c>
      <c r="H460" t="s">
        <v>578</v>
      </c>
      <c r="I460" t="s">
        <v>579</v>
      </c>
      <c r="J460" t="s">
        <v>580</v>
      </c>
      <c r="K460" t="s">
        <v>23</v>
      </c>
      <c r="L460">
        <v>5000</v>
      </c>
      <c r="M460">
        <v>1999</v>
      </c>
      <c r="N460" t="s">
        <v>50</v>
      </c>
      <c r="O460" t="s">
        <v>581</v>
      </c>
      <c r="P460" t="s">
        <v>80</v>
      </c>
      <c r="Q460" t="s">
        <v>42</v>
      </c>
      <c r="R460" t="s">
        <v>39</v>
      </c>
    </row>
    <row r="461" spans="1:18">
      <c r="A461">
        <v>471</v>
      </c>
      <c r="B461" t="s">
        <v>18</v>
      </c>
      <c r="C461">
        <v>31</v>
      </c>
      <c r="D461">
        <v>56</v>
      </c>
      <c r="E461">
        <v>3.9</v>
      </c>
      <c r="F461" t="s">
        <v>972</v>
      </c>
      <c r="G461" t="s">
        <v>973</v>
      </c>
      <c r="H461" t="s">
        <v>342</v>
      </c>
      <c r="I461" t="s">
        <v>343</v>
      </c>
      <c r="J461" t="s">
        <v>891</v>
      </c>
      <c r="K461" t="s">
        <v>56</v>
      </c>
      <c r="L461">
        <v>1000</v>
      </c>
      <c r="M461">
        <v>2004</v>
      </c>
      <c r="N461" t="s">
        <v>31</v>
      </c>
      <c r="O461" t="s">
        <v>96</v>
      </c>
      <c r="P461" t="s">
        <v>96</v>
      </c>
      <c r="Q461" t="s">
        <v>198</v>
      </c>
      <c r="R461" t="s">
        <v>39</v>
      </c>
    </row>
    <row r="462" spans="1:18">
      <c r="A462">
        <v>472</v>
      </c>
      <c r="B462" t="s">
        <v>195</v>
      </c>
      <c r="C462">
        <v>31</v>
      </c>
      <c r="D462">
        <v>56</v>
      </c>
      <c r="E462">
        <v>3.5</v>
      </c>
      <c r="F462" t="s">
        <v>816</v>
      </c>
      <c r="G462" t="s">
        <v>678</v>
      </c>
      <c r="H462" t="s">
        <v>120</v>
      </c>
      <c r="I462" t="s">
        <v>121</v>
      </c>
      <c r="J462" t="s">
        <v>549</v>
      </c>
      <c r="K462" t="s">
        <v>85</v>
      </c>
      <c r="M462">
        <v>1970</v>
      </c>
      <c r="N462" t="s">
        <v>50</v>
      </c>
      <c r="O462" t="s">
        <v>37</v>
      </c>
      <c r="P462" t="s">
        <v>38</v>
      </c>
      <c r="Q462" t="s">
        <v>87</v>
      </c>
      <c r="R462" t="s">
        <v>817</v>
      </c>
    </row>
    <row r="463" spans="1:18">
      <c r="A463">
        <v>473</v>
      </c>
      <c r="B463" t="s">
        <v>18</v>
      </c>
      <c r="C463">
        <v>31</v>
      </c>
      <c r="D463">
        <v>56</v>
      </c>
      <c r="E463">
        <v>4</v>
      </c>
      <c r="F463" t="s">
        <v>974</v>
      </c>
      <c r="G463" t="s">
        <v>192</v>
      </c>
      <c r="H463" t="s">
        <v>112</v>
      </c>
      <c r="I463" t="s">
        <v>193</v>
      </c>
      <c r="J463" t="s">
        <v>471</v>
      </c>
      <c r="K463" t="s">
        <v>67</v>
      </c>
      <c r="L463">
        <v>50</v>
      </c>
      <c r="M463">
        <v>2012</v>
      </c>
      <c r="N463" t="s">
        <v>31</v>
      </c>
      <c r="O463" t="s">
        <v>101</v>
      </c>
      <c r="P463" t="s">
        <v>102</v>
      </c>
      <c r="Q463" t="s">
        <v>27</v>
      </c>
      <c r="R463" t="s">
        <v>39</v>
      </c>
    </row>
    <row r="464" spans="1:18">
      <c r="A464">
        <v>474</v>
      </c>
      <c r="B464" t="s">
        <v>18</v>
      </c>
      <c r="C464">
        <v>31</v>
      </c>
      <c r="D464">
        <v>56</v>
      </c>
      <c r="E464">
        <v>3</v>
      </c>
      <c r="F464" t="s">
        <v>815</v>
      </c>
      <c r="G464" t="s">
        <v>521</v>
      </c>
      <c r="H464" t="s">
        <v>259</v>
      </c>
      <c r="I464" t="s">
        <v>260</v>
      </c>
      <c r="J464" t="s">
        <v>236</v>
      </c>
      <c r="K464" t="s">
        <v>23</v>
      </c>
      <c r="L464">
        <v>5000</v>
      </c>
      <c r="M464">
        <v>1887</v>
      </c>
      <c r="N464" t="s">
        <v>31</v>
      </c>
      <c r="O464" t="s">
        <v>276</v>
      </c>
      <c r="P464" t="s">
        <v>26</v>
      </c>
      <c r="Q464" t="s">
        <v>126</v>
      </c>
      <c r="R464" t="s">
        <v>39</v>
      </c>
    </row>
    <row r="465" spans="1:18">
      <c r="A465">
        <v>475</v>
      </c>
      <c r="B465" t="s">
        <v>18</v>
      </c>
      <c r="C465">
        <v>31</v>
      </c>
      <c r="D465">
        <v>56</v>
      </c>
      <c r="E465">
        <v>3.7</v>
      </c>
      <c r="F465" t="s">
        <v>975</v>
      </c>
      <c r="G465" t="s">
        <v>167</v>
      </c>
      <c r="H465" t="s">
        <v>168</v>
      </c>
      <c r="I465" t="s">
        <v>169</v>
      </c>
      <c r="J465" t="s">
        <v>170</v>
      </c>
      <c r="K465" t="s">
        <v>49</v>
      </c>
      <c r="L465">
        <v>10000</v>
      </c>
      <c r="M465">
        <v>2000</v>
      </c>
      <c r="N465" t="s">
        <v>50</v>
      </c>
      <c r="O465" t="s">
        <v>766</v>
      </c>
      <c r="P465" t="s">
        <v>102</v>
      </c>
      <c r="Q465" t="s">
        <v>126</v>
      </c>
      <c r="R465" t="s">
        <v>39</v>
      </c>
    </row>
    <row r="466" spans="1:18">
      <c r="A466">
        <v>476</v>
      </c>
      <c r="B466" t="s">
        <v>18</v>
      </c>
      <c r="C466">
        <v>31</v>
      </c>
      <c r="D466">
        <v>56</v>
      </c>
      <c r="E466">
        <v>4.5</v>
      </c>
      <c r="F466" t="s">
        <v>976</v>
      </c>
      <c r="G466" t="s">
        <v>145</v>
      </c>
      <c r="H466" t="s">
        <v>146</v>
      </c>
      <c r="I466" t="s">
        <v>147</v>
      </c>
      <c r="J466" t="s">
        <v>22</v>
      </c>
      <c r="K466" t="s">
        <v>67</v>
      </c>
      <c r="L466">
        <v>50</v>
      </c>
      <c r="M466">
        <v>-1</v>
      </c>
      <c r="N466" t="s">
        <v>31</v>
      </c>
      <c r="O466" t="s">
        <v>39</v>
      </c>
      <c r="P466">
        <v>-1</v>
      </c>
      <c r="Q466" t="s">
        <v>378</v>
      </c>
      <c r="R466" t="s">
        <v>39</v>
      </c>
    </row>
    <row r="467" spans="1:18">
      <c r="A467">
        <v>477</v>
      </c>
      <c r="B467" t="s">
        <v>18</v>
      </c>
      <c r="C467">
        <v>31</v>
      </c>
      <c r="D467">
        <v>56</v>
      </c>
      <c r="E467">
        <v>2.8</v>
      </c>
      <c r="F467" t="s">
        <v>977</v>
      </c>
      <c r="G467" t="s">
        <v>726</v>
      </c>
      <c r="H467" t="s">
        <v>46</v>
      </c>
      <c r="I467" t="s">
        <v>47</v>
      </c>
      <c r="J467" t="s">
        <v>524</v>
      </c>
      <c r="K467" t="s">
        <v>30</v>
      </c>
      <c r="L467">
        <v>200</v>
      </c>
      <c r="M467">
        <v>1987</v>
      </c>
      <c r="N467" t="s">
        <v>24</v>
      </c>
      <c r="O467" t="s">
        <v>978</v>
      </c>
      <c r="P467" t="s">
        <v>979</v>
      </c>
      <c r="Q467" t="s">
        <v>64</v>
      </c>
      <c r="R467" t="s">
        <v>39</v>
      </c>
    </row>
    <row r="468" spans="1:18">
      <c r="A468">
        <v>478</v>
      </c>
      <c r="B468" t="s">
        <v>18</v>
      </c>
      <c r="C468">
        <v>31</v>
      </c>
      <c r="D468">
        <v>56</v>
      </c>
      <c r="E468">
        <v>4.0999999999999996</v>
      </c>
      <c r="F468" t="s">
        <v>980</v>
      </c>
      <c r="G468" t="s">
        <v>292</v>
      </c>
      <c r="H468" t="s">
        <v>120</v>
      </c>
      <c r="I468" t="s">
        <v>121</v>
      </c>
      <c r="J468" t="s">
        <v>248</v>
      </c>
      <c r="K468" t="s">
        <v>106</v>
      </c>
      <c r="L468">
        <v>500</v>
      </c>
      <c r="M468">
        <v>-1</v>
      </c>
      <c r="N468" t="s">
        <v>31</v>
      </c>
      <c r="O468" t="s">
        <v>39</v>
      </c>
      <c r="P468">
        <v>-1</v>
      </c>
      <c r="Q468" t="s">
        <v>140</v>
      </c>
      <c r="R468" t="s">
        <v>39</v>
      </c>
    </row>
    <row r="469" spans="1:18">
      <c r="A469">
        <v>479</v>
      </c>
      <c r="B469" t="s">
        <v>99</v>
      </c>
      <c r="C469">
        <v>31</v>
      </c>
      <c r="D469">
        <v>56</v>
      </c>
      <c r="E469">
        <v>2.9</v>
      </c>
      <c r="F469" t="s">
        <v>582</v>
      </c>
      <c r="G469" t="s">
        <v>583</v>
      </c>
      <c r="H469" t="s">
        <v>584</v>
      </c>
      <c r="I469" t="s">
        <v>585</v>
      </c>
      <c r="J469" t="s">
        <v>586</v>
      </c>
      <c r="K469" t="s">
        <v>106</v>
      </c>
      <c r="L469">
        <v>500</v>
      </c>
      <c r="M469">
        <v>1996</v>
      </c>
      <c r="N469" t="s">
        <v>50</v>
      </c>
      <c r="O469" t="s">
        <v>587</v>
      </c>
      <c r="P469" t="s">
        <v>182</v>
      </c>
      <c r="Q469" t="s">
        <v>198</v>
      </c>
      <c r="R469" t="s">
        <v>39</v>
      </c>
    </row>
    <row r="470" spans="1:18">
      <c r="A470">
        <v>480</v>
      </c>
      <c r="B470" t="s">
        <v>18</v>
      </c>
      <c r="C470">
        <v>31</v>
      </c>
      <c r="D470">
        <v>56</v>
      </c>
      <c r="E470">
        <v>4.7</v>
      </c>
      <c r="F470" t="s">
        <v>821</v>
      </c>
      <c r="G470" t="s">
        <v>45</v>
      </c>
      <c r="H470" t="s">
        <v>46</v>
      </c>
      <c r="I470" t="s">
        <v>47</v>
      </c>
      <c r="J470" t="s">
        <v>413</v>
      </c>
      <c r="K470" t="s">
        <v>106</v>
      </c>
      <c r="L470">
        <v>500</v>
      </c>
      <c r="M470">
        <v>2002</v>
      </c>
      <c r="N470" t="s">
        <v>284</v>
      </c>
      <c r="O470" t="s">
        <v>37</v>
      </c>
      <c r="P470" t="s">
        <v>38</v>
      </c>
      <c r="Q470" t="s">
        <v>42</v>
      </c>
      <c r="R470" t="s">
        <v>822</v>
      </c>
    </row>
    <row r="471" spans="1:18">
      <c r="A471">
        <v>481</v>
      </c>
      <c r="B471" t="s">
        <v>18</v>
      </c>
      <c r="C471">
        <v>31</v>
      </c>
      <c r="D471">
        <v>56</v>
      </c>
      <c r="E471">
        <v>3.4</v>
      </c>
      <c r="F471" t="s">
        <v>981</v>
      </c>
      <c r="G471" t="s">
        <v>982</v>
      </c>
      <c r="H471" t="s">
        <v>466</v>
      </c>
      <c r="I471" t="s">
        <v>467</v>
      </c>
      <c r="J471" t="s">
        <v>983</v>
      </c>
      <c r="K471" t="s">
        <v>23</v>
      </c>
      <c r="L471">
        <v>5000</v>
      </c>
      <c r="M471">
        <v>1998</v>
      </c>
      <c r="N471" t="s">
        <v>31</v>
      </c>
      <c r="O471" t="s">
        <v>984</v>
      </c>
      <c r="P471" t="s">
        <v>985</v>
      </c>
      <c r="Q471" t="s">
        <v>42</v>
      </c>
      <c r="R471" t="s">
        <v>39</v>
      </c>
    </row>
    <row r="472" spans="1:18">
      <c r="A472">
        <v>482</v>
      </c>
      <c r="B472" t="s">
        <v>18</v>
      </c>
      <c r="C472">
        <v>31</v>
      </c>
      <c r="D472">
        <v>56</v>
      </c>
      <c r="E472">
        <v>3.9</v>
      </c>
      <c r="F472" t="s">
        <v>986</v>
      </c>
      <c r="G472" t="s">
        <v>129</v>
      </c>
      <c r="H472" t="s">
        <v>120</v>
      </c>
      <c r="I472" t="s">
        <v>121</v>
      </c>
      <c r="J472" t="s">
        <v>987</v>
      </c>
      <c r="K472" t="s">
        <v>23</v>
      </c>
      <c r="L472">
        <v>5000</v>
      </c>
      <c r="M472">
        <v>1995</v>
      </c>
      <c r="N472" t="s">
        <v>284</v>
      </c>
      <c r="O472" t="s">
        <v>270</v>
      </c>
      <c r="P472" t="s">
        <v>33</v>
      </c>
      <c r="Q472" t="s">
        <v>126</v>
      </c>
      <c r="R472" t="s">
        <v>988</v>
      </c>
    </row>
    <row r="473" spans="1:18">
      <c r="A473">
        <v>483</v>
      </c>
      <c r="B473" t="s">
        <v>18</v>
      </c>
      <c r="C473">
        <v>31</v>
      </c>
      <c r="D473">
        <v>56</v>
      </c>
      <c r="E473">
        <v>2.9</v>
      </c>
      <c r="F473" t="s">
        <v>989</v>
      </c>
      <c r="G473" t="s">
        <v>192</v>
      </c>
      <c r="H473" t="s">
        <v>112</v>
      </c>
      <c r="I473" t="s">
        <v>193</v>
      </c>
      <c r="J473" t="s">
        <v>368</v>
      </c>
      <c r="K473" t="s">
        <v>106</v>
      </c>
      <c r="L473">
        <v>500</v>
      </c>
      <c r="M473">
        <v>1985</v>
      </c>
      <c r="N473" t="s">
        <v>31</v>
      </c>
      <c r="O473" t="s">
        <v>98</v>
      </c>
      <c r="P473" t="s">
        <v>38</v>
      </c>
      <c r="Q473" t="s">
        <v>42</v>
      </c>
      <c r="R473" t="s">
        <v>39</v>
      </c>
    </row>
    <row r="474" spans="1:18">
      <c r="A474">
        <v>484</v>
      </c>
      <c r="B474" t="s">
        <v>112</v>
      </c>
      <c r="C474">
        <v>31</v>
      </c>
      <c r="D474">
        <v>56</v>
      </c>
      <c r="E474">
        <v>4.5</v>
      </c>
      <c r="F474" t="s">
        <v>823</v>
      </c>
      <c r="G474" t="s">
        <v>824</v>
      </c>
      <c r="H474" t="s">
        <v>331</v>
      </c>
      <c r="I474" t="s">
        <v>332</v>
      </c>
      <c r="J474" t="s">
        <v>825</v>
      </c>
      <c r="K474" t="s">
        <v>49</v>
      </c>
      <c r="L474">
        <v>10000</v>
      </c>
      <c r="M474">
        <v>1942</v>
      </c>
      <c r="N474" t="s">
        <v>24</v>
      </c>
      <c r="O474" t="s">
        <v>96</v>
      </c>
      <c r="P474" t="s">
        <v>96</v>
      </c>
      <c r="Q474" t="s">
        <v>52</v>
      </c>
      <c r="R474" t="s">
        <v>826</v>
      </c>
    </row>
    <row r="475" spans="1:18">
      <c r="A475">
        <v>485</v>
      </c>
      <c r="B475" t="s">
        <v>18</v>
      </c>
      <c r="C475">
        <v>31</v>
      </c>
      <c r="D475">
        <v>56</v>
      </c>
      <c r="E475">
        <v>4.9000000000000004</v>
      </c>
      <c r="F475" t="s">
        <v>827</v>
      </c>
      <c r="G475" t="s">
        <v>83</v>
      </c>
      <c r="H475" t="s">
        <v>71</v>
      </c>
      <c r="I475" t="s">
        <v>72</v>
      </c>
      <c r="J475" t="s">
        <v>108</v>
      </c>
      <c r="K475" t="s">
        <v>67</v>
      </c>
      <c r="L475">
        <v>50</v>
      </c>
      <c r="M475">
        <v>2010</v>
      </c>
      <c r="N475" t="s">
        <v>31</v>
      </c>
      <c r="O475" t="s">
        <v>57</v>
      </c>
      <c r="P475" t="s">
        <v>38</v>
      </c>
      <c r="Q475" t="s">
        <v>27</v>
      </c>
      <c r="R475" t="s">
        <v>39</v>
      </c>
    </row>
    <row r="476" spans="1:18">
      <c r="A476">
        <v>486</v>
      </c>
      <c r="B476" t="s">
        <v>18</v>
      </c>
      <c r="C476">
        <v>31</v>
      </c>
      <c r="D476">
        <v>56</v>
      </c>
      <c r="E476">
        <v>5</v>
      </c>
      <c r="F476" t="s">
        <v>588</v>
      </c>
      <c r="G476" t="s">
        <v>412</v>
      </c>
      <c r="H476" t="s">
        <v>331</v>
      </c>
      <c r="I476" t="s">
        <v>332</v>
      </c>
      <c r="J476" t="s">
        <v>589</v>
      </c>
      <c r="K476" t="s">
        <v>67</v>
      </c>
      <c r="L476">
        <v>50</v>
      </c>
      <c r="M476">
        <v>2011</v>
      </c>
      <c r="N476" t="s">
        <v>31</v>
      </c>
      <c r="O476" t="s">
        <v>98</v>
      </c>
      <c r="P476" t="s">
        <v>38</v>
      </c>
      <c r="Q476" t="s">
        <v>68</v>
      </c>
      <c r="R476" t="s">
        <v>39</v>
      </c>
    </row>
    <row r="477" spans="1:18">
      <c r="A477">
        <v>487</v>
      </c>
      <c r="B477" t="s">
        <v>18</v>
      </c>
      <c r="C477">
        <v>95</v>
      </c>
      <c r="D477">
        <v>119</v>
      </c>
      <c r="E477">
        <v>3.3</v>
      </c>
      <c r="F477" t="s">
        <v>295</v>
      </c>
      <c r="G477" t="s">
        <v>304</v>
      </c>
      <c r="H477" t="s">
        <v>120</v>
      </c>
      <c r="I477" t="s">
        <v>121</v>
      </c>
      <c r="J477" t="s">
        <v>155</v>
      </c>
      <c r="K477" t="s">
        <v>56</v>
      </c>
      <c r="L477">
        <v>1000</v>
      </c>
      <c r="M477">
        <v>2015</v>
      </c>
      <c r="N477" t="s">
        <v>31</v>
      </c>
      <c r="O477" t="s">
        <v>86</v>
      </c>
      <c r="P477" t="s">
        <v>86</v>
      </c>
      <c r="Q477" t="s">
        <v>27</v>
      </c>
      <c r="R477" t="s">
        <v>39</v>
      </c>
    </row>
    <row r="478" spans="1:18">
      <c r="A478">
        <v>488</v>
      </c>
      <c r="B478" t="s">
        <v>18</v>
      </c>
      <c r="C478">
        <v>95</v>
      </c>
      <c r="D478">
        <v>119</v>
      </c>
      <c r="E478">
        <v>3.5</v>
      </c>
      <c r="F478" t="s">
        <v>320</v>
      </c>
      <c r="G478" t="s">
        <v>145</v>
      </c>
      <c r="H478" t="s">
        <v>146</v>
      </c>
      <c r="I478" t="s">
        <v>147</v>
      </c>
      <c r="J478" t="s">
        <v>321</v>
      </c>
      <c r="K478" t="s">
        <v>23</v>
      </c>
      <c r="L478">
        <v>5000</v>
      </c>
      <c r="M478">
        <v>2019</v>
      </c>
      <c r="N478" t="s">
        <v>31</v>
      </c>
      <c r="O478" t="s">
        <v>41</v>
      </c>
      <c r="P478" t="s">
        <v>38</v>
      </c>
      <c r="Q478" t="s">
        <v>27</v>
      </c>
      <c r="R478" t="s">
        <v>322</v>
      </c>
    </row>
    <row r="479" spans="1:18">
      <c r="A479">
        <v>489</v>
      </c>
      <c r="B479" t="s">
        <v>18</v>
      </c>
      <c r="C479">
        <v>95</v>
      </c>
      <c r="D479">
        <v>119</v>
      </c>
      <c r="E479">
        <v>3.5</v>
      </c>
      <c r="F479" t="s">
        <v>990</v>
      </c>
      <c r="G479" t="s">
        <v>991</v>
      </c>
      <c r="H479" t="s">
        <v>120</v>
      </c>
      <c r="I479" t="s">
        <v>121</v>
      </c>
      <c r="J479" t="s">
        <v>992</v>
      </c>
      <c r="K479" t="s">
        <v>67</v>
      </c>
      <c r="L479">
        <v>50</v>
      </c>
      <c r="M479">
        <v>2010</v>
      </c>
      <c r="N479" t="s">
        <v>31</v>
      </c>
      <c r="O479" t="s">
        <v>204</v>
      </c>
      <c r="P479" t="s">
        <v>205</v>
      </c>
      <c r="Q479" t="s">
        <v>68</v>
      </c>
      <c r="R479" t="s">
        <v>39</v>
      </c>
    </row>
    <row r="480" spans="1:18">
      <c r="A480">
        <v>490</v>
      </c>
      <c r="B480" t="s">
        <v>18</v>
      </c>
      <c r="C480">
        <v>95</v>
      </c>
      <c r="D480">
        <v>119</v>
      </c>
      <c r="E480">
        <v>4</v>
      </c>
      <c r="F480" t="s">
        <v>993</v>
      </c>
      <c r="G480" t="s">
        <v>20</v>
      </c>
      <c r="H480" t="s">
        <v>21</v>
      </c>
      <c r="I480" t="s">
        <v>20</v>
      </c>
      <c r="J480" t="s">
        <v>994</v>
      </c>
      <c r="K480" t="s">
        <v>67</v>
      </c>
      <c r="L480">
        <v>50</v>
      </c>
      <c r="M480">
        <v>-1</v>
      </c>
      <c r="N480" t="s">
        <v>31</v>
      </c>
      <c r="O480" t="s">
        <v>916</v>
      </c>
      <c r="P480" t="s">
        <v>917</v>
      </c>
      <c r="Q480" t="s">
        <v>378</v>
      </c>
      <c r="R480" t="s">
        <v>39</v>
      </c>
    </row>
    <row r="481" spans="1:18">
      <c r="A481">
        <v>491</v>
      </c>
      <c r="B481" t="s">
        <v>99</v>
      </c>
      <c r="C481">
        <v>95</v>
      </c>
      <c r="D481">
        <v>119</v>
      </c>
      <c r="E481">
        <v>3.9</v>
      </c>
      <c r="F481" t="s">
        <v>830</v>
      </c>
      <c r="G481" t="s">
        <v>831</v>
      </c>
      <c r="H481" t="s">
        <v>46</v>
      </c>
      <c r="I481" t="s">
        <v>47</v>
      </c>
      <c r="J481" t="s">
        <v>251</v>
      </c>
      <c r="K481" t="s">
        <v>30</v>
      </c>
      <c r="L481">
        <v>200</v>
      </c>
      <c r="M481">
        <v>2012</v>
      </c>
      <c r="N481" t="s">
        <v>50</v>
      </c>
      <c r="O481" t="s">
        <v>75</v>
      </c>
      <c r="P481" t="s">
        <v>33</v>
      </c>
      <c r="Q481" t="s">
        <v>68</v>
      </c>
      <c r="R481" t="s">
        <v>39</v>
      </c>
    </row>
    <row r="482" spans="1:18">
      <c r="A482">
        <v>492</v>
      </c>
      <c r="B482" t="s">
        <v>18</v>
      </c>
      <c r="C482">
        <v>95</v>
      </c>
      <c r="D482">
        <v>119</v>
      </c>
      <c r="E482">
        <v>3.4</v>
      </c>
      <c r="F482" t="s">
        <v>590</v>
      </c>
      <c r="G482" t="s">
        <v>77</v>
      </c>
      <c r="H482" t="s">
        <v>71</v>
      </c>
      <c r="I482" t="s">
        <v>72</v>
      </c>
      <c r="J482" t="s">
        <v>371</v>
      </c>
      <c r="K482" t="s">
        <v>106</v>
      </c>
      <c r="L482">
        <v>500</v>
      </c>
      <c r="M482">
        <v>1990</v>
      </c>
      <c r="N482" t="s">
        <v>284</v>
      </c>
      <c r="O482" t="s">
        <v>270</v>
      </c>
      <c r="P482" t="s">
        <v>33</v>
      </c>
      <c r="Q482" t="s">
        <v>42</v>
      </c>
      <c r="R482" t="s">
        <v>591</v>
      </c>
    </row>
    <row r="483" spans="1:18">
      <c r="A483">
        <v>493</v>
      </c>
      <c r="B483" t="s">
        <v>18</v>
      </c>
      <c r="C483">
        <v>95</v>
      </c>
      <c r="D483">
        <v>119</v>
      </c>
      <c r="E483">
        <v>3.5</v>
      </c>
      <c r="F483" t="s">
        <v>995</v>
      </c>
      <c r="G483" t="s">
        <v>129</v>
      </c>
      <c r="H483" t="s">
        <v>120</v>
      </c>
      <c r="I483" t="s">
        <v>121</v>
      </c>
      <c r="J483" t="s">
        <v>36</v>
      </c>
      <c r="K483" t="s">
        <v>85</v>
      </c>
      <c r="M483">
        <v>1969</v>
      </c>
      <c r="N483" t="s">
        <v>50</v>
      </c>
      <c r="O483" t="s">
        <v>996</v>
      </c>
      <c r="P483" t="s">
        <v>92</v>
      </c>
      <c r="Q483" t="s">
        <v>87</v>
      </c>
      <c r="R483" t="s">
        <v>997</v>
      </c>
    </row>
    <row r="484" spans="1:18">
      <c r="A484">
        <v>494</v>
      </c>
      <c r="B484" t="s">
        <v>18</v>
      </c>
      <c r="C484">
        <v>95</v>
      </c>
      <c r="D484">
        <v>119</v>
      </c>
      <c r="E484">
        <v>4.7</v>
      </c>
      <c r="F484" t="s">
        <v>998</v>
      </c>
      <c r="G484" t="s">
        <v>145</v>
      </c>
      <c r="H484" t="s">
        <v>146</v>
      </c>
      <c r="I484" t="s">
        <v>147</v>
      </c>
      <c r="J484" t="s">
        <v>999</v>
      </c>
      <c r="K484" t="s">
        <v>67</v>
      </c>
      <c r="L484">
        <v>50</v>
      </c>
      <c r="M484">
        <v>-1</v>
      </c>
      <c r="N484" t="s">
        <v>31</v>
      </c>
      <c r="O484" t="s">
        <v>39</v>
      </c>
      <c r="P484">
        <v>-1</v>
      </c>
      <c r="Q484" t="s">
        <v>68</v>
      </c>
      <c r="R484" t="s">
        <v>39</v>
      </c>
    </row>
    <row r="485" spans="1:18">
      <c r="A485">
        <v>501</v>
      </c>
      <c r="B485" t="s">
        <v>18</v>
      </c>
      <c r="C485">
        <v>95</v>
      </c>
      <c r="D485">
        <v>119</v>
      </c>
      <c r="E485">
        <v>4.5999999999999996</v>
      </c>
      <c r="F485" t="s">
        <v>1000</v>
      </c>
      <c r="G485" t="s">
        <v>1001</v>
      </c>
      <c r="H485" t="s">
        <v>214</v>
      </c>
      <c r="I485" t="s">
        <v>215</v>
      </c>
      <c r="J485" t="s">
        <v>656</v>
      </c>
      <c r="K485" t="s">
        <v>67</v>
      </c>
      <c r="L485">
        <v>50</v>
      </c>
      <c r="M485">
        <v>1988</v>
      </c>
      <c r="N485" t="s">
        <v>31</v>
      </c>
      <c r="O485" t="s">
        <v>270</v>
      </c>
      <c r="P485" t="s">
        <v>33</v>
      </c>
      <c r="Q485" t="s">
        <v>140</v>
      </c>
      <c r="R485" t="s">
        <v>39</v>
      </c>
    </row>
    <row r="486" spans="1:18">
      <c r="A486">
        <v>502</v>
      </c>
      <c r="B486" t="s">
        <v>18</v>
      </c>
      <c r="C486">
        <v>95</v>
      </c>
      <c r="D486">
        <v>119</v>
      </c>
      <c r="E486">
        <v>4</v>
      </c>
      <c r="F486" t="s">
        <v>1002</v>
      </c>
      <c r="G486" t="s">
        <v>844</v>
      </c>
      <c r="H486" t="s">
        <v>179</v>
      </c>
      <c r="I486" t="s">
        <v>145</v>
      </c>
      <c r="J486" t="s">
        <v>552</v>
      </c>
      <c r="K486" t="s">
        <v>30</v>
      </c>
      <c r="L486">
        <v>200</v>
      </c>
      <c r="M486">
        <v>1999</v>
      </c>
      <c r="N486" t="s">
        <v>31</v>
      </c>
      <c r="O486" t="s">
        <v>37</v>
      </c>
      <c r="P486" t="s">
        <v>38</v>
      </c>
      <c r="Q486" t="s">
        <v>140</v>
      </c>
      <c r="R486" t="s">
        <v>39</v>
      </c>
    </row>
    <row r="487" spans="1:18">
      <c r="A487">
        <v>503</v>
      </c>
      <c r="B487" t="s">
        <v>18</v>
      </c>
      <c r="C487">
        <v>95</v>
      </c>
      <c r="D487">
        <v>119</v>
      </c>
      <c r="E487">
        <v>4</v>
      </c>
      <c r="F487" t="s">
        <v>1003</v>
      </c>
      <c r="G487" t="s">
        <v>152</v>
      </c>
      <c r="H487" t="s">
        <v>153</v>
      </c>
      <c r="I487" t="s">
        <v>154</v>
      </c>
      <c r="J487" t="s">
        <v>1004</v>
      </c>
      <c r="K487" t="s">
        <v>67</v>
      </c>
      <c r="L487">
        <v>50</v>
      </c>
      <c r="M487">
        <v>-1</v>
      </c>
      <c r="N487" t="s">
        <v>31</v>
      </c>
      <c r="O487" t="s">
        <v>270</v>
      </c>
      <c r="P487" t="s">
        <v>33</v>
      </c>
      <c r="Q487" t="s">
        <v>68</v>
      </c>
      <c r="R487" t="s">
        <v>39</v>
      </c>
    </row>
    <row r="488" spans="1:18">
      <c r="A488">
        <v>504</v>
      </c>
      <c r="B488" t="s">
        <v>18</v>
      </c>
      <c r="C488">
        <v>95</v>
      </c>
      <c r="D488">
        <v>119</v>
      </c>
      <c r="E488">
        <v>-1</v>
      </c>
      <c r="F488" t="s">
        <v>1005</v>
      </c>
      <c r="G488" t="s">
        <v>45</v>
      </c>
      <c r="H488" t="s">
        <v>46</v>
      </c>
      <c r="I488" t="s">
        <v>47</v>
      </c>
      <c r="J488" t="s">
        <v>677</v>
      </c>
      <c r="K488" t="s">
        <v>67</v>
      </c>
      <c r="L488">
        <v>50</v>
      </c>
      <c r="M488">
        <v>-1</v>
      </c>
      <c r="N488" t="s">
        <v>546</v>
      </c>
      <c r="O488" t="s">
        <v>39</v>
      </c>
      <c r="P488">
        <v>-1</v>
      </c>
      <c r="Q488" t="s">
        <v>27</v>
      </c>
      <c r="R488" t="s">
        <v>39</v>
      </c>
    </row>
    <row r="489" spans="1:18">
      <c r="A489">
        <v>505</v>
      </c>
      <c r="B489" t="s">
        <v>18</v>
      </c>
      <c r="C489">
        <v>95</v>
      </c>
      <c r="D489">
        <v>119</v>
      </c>
      <c r="E489">
        <v>4.7</v>
      </c>
      <c r="F489" t="s">
        <v>1006</v>
      </c>
      <c r="G489" t="s">
        <v>152</v>
      </c>
      <c r="H489" t="s">
        <v>153</v>
      </c>
      <c r="I489" t="s">
        <v>154</v>
      </c>
      <c r="J489" t="s">
        <v>1007</v>
      </c>
      <c r="K489" t="s">
        <v>30</v>
      </c>
      <c r="L489">
        <v>200</v>
      </c>
      <c r="M489">
        <v>1994</v>
      </c>
      <c r="N489" t="s">
        <v>31</v>
      </c>
      <c r="O489" t="s">
        <v>270</v>
      </c>
      <c r="P489" t="s">
        <v>33</v>
      </c>
      <c r="Q489" t="s">
        <v>140</v>
      </c>
      <c r="R489" t="s">
        <v>39</v>
      </c>
    </row>
    <row r="490" spans="1:18">
      <c r="A490">
        <v>506</v>
      </c>
      <c r="B490" t="s">
        <v>18</v>
      </c>
      <c r="C490">
        <v>95</v>
      </c>
      <c r="D490">
        <v>119</v>
      </c>
      <c r="E490">
        <v>3.5</v>
      </c>
      <c r="F490" t="s">
        <v>1008</v>
      </c>
      <c r="G490" t="s">
        <v>129</v>
      </c>
      <c r="H490" t="s">
        <v>120</v>
      </c>
      <c r="I490" t="s">
        <v>121</v>
      </c>
      <c r="J490" t="s">
        <v>36</v>
      </c>
      <c r="K490" t="s">
        <v>30</v>
      </c>
      <c r="L490">
        <v>200</v>
      </c>
      <c r="M490">
        <v>1998</v>
      </c>
      <c r="N490" t="s">
        <v>31</v>
      </c>
      <c r="O490" t="s">
        <v>75</v>
      </c>
      <c r="P490" t="s">
        <v>33</v>
      </c>
      <c r="Q490" t="s">
        <v>64</v>
      </c>
      <c r="R490" t="s">
        <v>39</v>
      </c>
    </row>
    <row r="491" spans="1:18">
      <c r="A491">
        <v>507</v>
      </c>
      <c r="B491" t="s">
        <v>18</v>
      </c>
      <c r="C491">
        <v>95</v>
      </c>
      <c r="D491">
        <v>119</v>
      </c>
      <c r="E491">
        <v>5</v>
      </c>
      <c r="F491" t="s">
        <v>588</v>
      </c>
      <c r="G491" t="s">
        <v>592</v>
      </c>
      <c r="H491" t="s">
        <v>331</v>
      </c>
      <c r="I491" t="s">
        <v>332</v>
      </c>
      <c r="J491" t="s">
        <v>589</v>
      </c>
      <c r="K491" t="s">
        <v>67</v>
      </c>
      <c r="L491">
        <v>50</v>
      </c>
      <c r="M491">
        <v>2011</v>
      </c>
      <c r="N491" t="s">
        <v>31</v>
      </c>
      <c r="O491" t="s">
        <v>98</v>
      </c>
      <c r="P491" t="s">
        <v>38</v>
      </c>
      <c r="Q491" t="s">
        <v>68</v>
      </c>
      <c r="R491" t="s">
        <v>39</v>
      </c>
    </row>
    <row r="492" spans="1:18">
      <c r="A492">
        <v>508</v>
      </c>
      <c r="B492" t="s">
        <v>18</v>
      </c>
      <c r="C492">
        <v>212</v>
      </c>
      <c r="D492">
        <v>331</v>
      </c>
      <c r="E492">
        <v>4.0999999999999996</v>
      </c>
      <c r="F492" t="s">
        <v>1009</v>
      </c>
      <c r="G492" t="s">
        <v>1010</v>
      </c>
      <c r="H492" t="s">
        <v>120</v>
      </c>
      <c r="I492" t="s">
        <v>121</v>
      </c>
      <c r="J492" t="s">
        <v>84</v>
      </c>
      <c r="K492" t="s">
        <v>85</v>
      </c>
      <c r="M492">
        <v>1896</v>
      </c>
      <c r="N492" t="s">
        <v>50</v>
      </c>
      <c r="O492" t="s">
        <v>86</v>
      </c>
      <c r="P492" t="s">
        <v>86</v>
      </c>
      <c r="Q492" t="s">
        <v>87</v>
      </c>
      <c r="R492" t="s">
        <v>1011</v>
      </c>
    </row>
    <row r="493" spans="1:18">
      <c r="A493">
        <v>509</v>
      </c>
      <c r="B493" t="s">
        <v>18</v>
      </c>
      <c r="C493">
        <v>212</v>
      </c>
      <c r="D493">
        <v>331</v>
      </c>
      <c r="E493">
        <v>4</v>
      </c>
      <c r="F493" t="s">
        <v>329</v>
      </c>
      <c r="G493" t="s">
        <v>1012</v>
      </c>
      <c r="H493" t="s">
        <v>1013</v>
      </c>
      <c r="I493" t="s">
        <v>1014</v>
      </c>
      <c r="J493" t="s">
        <v>333</v>
      </c>
      <c r="K493" t="s">
        <v>85</v>
      </c>
      <c r="M493">
        <v>1913</v>
      </c>
      <c r="N493" t="s">
        <v>50</v>
      </c>
      <c r="O493" t="s">
        <v>86</v>
      </c>
      <c r="P493" t="s">
        <v>86</v>
      </c>
      <c r="Q493" t="s">
        <v>87</v>
      </c>
      <c r="R493" t="s">
        <v>334</v>
      </c>
    </row>
    <row r="494" spans="1:18">
      <c r="A494">
        <v>510</v>
      </c>
      <c r="B494" t="s">
        <v>18</v>
      </c>
      <c r="C494">
        <v>212</v>
      </c>
      <c r="D494">
        <v>331</v>
      </c>
      <c r="E494">
        <v>3.6</v>
      </c>
      <c r="F494" t="s">
        <v>1015</v>
      </c>
      <c r="G494" t="s">
        <v>192</v>
      </c>
      <c r="H494" t="s">
        <v>112</v>
      </c>
      <c r="I494" t="s">
        <v>193</v>
      </c>
      <c r="J494" t="s">
        <v>891</v>
      </c>
      <c r="K494" t="s">
        <v>106</v>
      </c>
      <c r="L494">
        <v>500</v>
      </c>
      <c r="M494">
        <v>2002</v>
      </c>
      <c r="N494" t="s">
        <v>50</v>
      </c>
      <c r="O494" t="s">
        <v>270</v>
      </c>
      <c r="P494" t="s">
        <v>33</v>
      </c>
      <c r="Q494" t="s">
        <v>27</v>
      </c>
      <c r="R494" t="s">
        <v>1016</v>
      </c>
    </row>
    <row r="495" spans="1:18">
      <c r="A495">
        <v>511</v>
      </c>
      <c r="B495" t="s">
        <v>18</v>
      </c>
      <c r="C495">
        <v>212</v>
      </c>
      <c r="D495">
        <v>331</v>
      </c>
      <c r="E495">
        <v>5</v>
      </c>
      <c r="F495" t="s">
        <v>1017</v>
      </c>
      <c r="G495" t="s">
        <v>20</v>
      </c>
      <c r="H495" t="s">
        <v>21</v>
      </c>
      <c r="I495" t="s">
        <v>20</v>
      </c>
      <c r="J495" t="s">
        <v>1018</v>
      </c>
      <c r="K495" t="s">
        <v>67</v>
      </c>
      <c r="L495">
        <v>50</v>
      </c>
      <c r="M495">
        <v>1987</v>
      </c>
      <c r="N495" t="s">
        <v>31</v>
      </c>
      <c r="O495" t="s">
        <v>270</v>
      </c>
      <c r="P495" t="s">
        <v>33</v>
      </c>
      <c r="Q495" t="s">
        <v>27</v>
      </c>
      <c r="R495" t="s">
        <v>39</v>
      </c>
    </row>
    <row r="496" spans="1:18">
      <c r="A496">
        <v>512</v>
      </c>
      <c r="B496" t="s">
        <v>18</v>
      </c>
      <c r="C496">
        <v>212</v>
      </c>
      <c r="D496">
        <v>331</v>
      </c>
      <c r="E496">
        <v>3.5</v>
      </c>
      <c r="F496" t="s">
        <v>403</v>
      </c>
      <c r="G496" t="s">
        <v>54</v>
      </c>
      <c r="H496" t="s">
        <v>46</v>
      </c>
      <c r="I496" t="s">
        <v>47</v>
      </c>
      <c r="J496" t="s">
        <v>404</v>
      </c>
      <c r="K496" t="s">
        <v>49</v>
      </c>
      <c r="L496">
        <v>10000</v>
      </c>
      <c r="M496">
        <v>-1</v>
      </c>
      <c r="N496" t="s">
        <v>50</v>
      </c>
      <c r="O496" t="s">
        <v>96</v>
      </c>
      <c r="P496" t="s">
        <v>96</v>
      </c>
      <c r="Q496" t="s">
        <v>126</v>
      </c>
      <c r="R496" t="s">
        <v>39</v>
      </c>
    </row>
    <row r="497" spans="1:18">
      <c r="A497">
        <v>513</v>
      </c>
      <c r="B497" t="s">
        <v>18</v>
      </c>
      <c r="C497">
        <v>212</v>
      </c>
      <c r="D497">
        <v>331</v>
      </c>
      <c r="E497">
        <v>4.7</v>
      </c>
      <c r="F497" t="s">
        <v>1019</v>
      </c>
      <c r="G497" t="s">
        <v>844</v>
      </c>
      <c r="H497" t="s">
        <v>179</v>
      </c>
      <c r="I497" t="s">
        <v>145</v>
      </c>
      <c r="J497" t="s">
        <v>1020</v>
      </c>
      <c r="K497" t="s">
        <v>546</v>
      </c>
      <c r="M497">
        <v>-1</v>
      </c>
      <c r="N497" t="s">
        <v>31</v>
      </c>
      <c r="O497" t="s">
        <v>1021</v>
      </c>
      <c r="P497" t="s">
        <v>402</v>
      </c>
      <c r="Q497" t="s">
        <v>378</v>
      </c>
      <c r="R497" t="s">
        <v>39</v>
      </c>
    </row>
    <row r="498" spans="1:18">
      <c r="A498">
        <v>514</v>
      </c>
      <c r="B498" t="s">
        <v>18</v>
      </c>
      <c r="C498">
        <v>212</v>
      </c>
      <c r="D498">
        <v>331</v>
      </c>
      <c r="E498">
        <v>3.5</v>
      </c>
      <c r="F498" t="s">
        <v>403</v>
      </c>
      <c r="G498" t="s">
        <v>54</v>
      </c>
      <c r="H498" t="s">
        <v>46</v>
      </c>
      <c r="I498" t="s">
        <v>47</v>
      </c>
      <c r="J498" t="s">
        <v>404</v>
      </c>
      <c r="K498" t="s">
        <v>49</v>
      </c>
      <c r="L498">
        <v>10000</v>
      </c>
      <c r="M498">
        <v>-1</v>
      </c>
      <c r="N498" t="s">
        <v>50</v>
      </c>
      <c r="O498" t="s">
        <v>96</v>
      </c>
      <c r="P498" t="s">
        <v>96</v>
      </c>
      <c r="Q498" t="s">
        <v>126</v>
      </c>
      <c r="R498" t="s">
        <v>39</v>
      </c>
    </row>
    <row r="499" spans="1:18">
      <c r="A499">
        <v>515</v>
      </c>
      <c r="B499" t="s">
        <v>18</v>
      </c>
      <c r="C499">
        <v>212</v>
      </c>
      <c r="D499">
        <v>331</v>
      </c>
      <c r="E499">
        <v>3.6</v>
      </c>
      <c r="F499" t="s">
        <v>1022</v>
      </c>
      <c r="G499" t="s">
        <v>1023</v>
      </c>
      <c r="H499" t="s">
        <v>214</v>
      </c>
      <c r="I499" t="s">
        <v>215</v>
      </c>
      <c r="J499" t="s">
        <v>1024</v>
      </c>
      <c r="K499" t="s">
        <v>56</v>
      </c>
      <c r="L499">
        <v>1000</v>
      </c>
      <c r="M499">
        <v>-1</v>
      </c>
      <c r="N499" t="s">
        <v>63</v>
      </c>
      <c r="O499" t="s">
        <v>39</v>
      </c>
      <c r="P499">
        <v>-1</v>
      </c>
      <c r="Q499" t="s">
        <v>27</v>
      </c>
      <c r="R499" t="s">
        <v>39</v>
      </c>
    </row>
    <row r="500" spans="1:18">
      <c r="A500">
        <v>516</v>
      </c>
      <c r="B500" t="s">
        <v>112</v>
      </c>
      <c r="C500">
        <v>212</v>
      </c>
      <c r="D500">
        <v>331</v>
      </c>
      <c r="E500">
        <v>3.9</v>
      </c>
      <c r="F500" t="s">
        <v>593</v>
      </c>
      <c r="G500" t="s">
        <v>594</v>
      </c>
      <c r="H500" t="s">
        <v>584</v>
      </c>
      <c r="I500" t="s">
        <v>585</v>
      </c>
      <c r="J500" t="s">
        <v>595</v>
      </c>
      <c r="K500" t="s">
        <v>23</v>
      </c>
      <c r="L500">
        <v>5000</v>
      </c>
      <c r="M500">
        <v>1947</v>
      </c>
      <c r="N500" t="s">
        <v>24</v>
      </c>
      <c r="O500" t="s">
        <v>51</v>
      </c>
      <c r="P500" t="s">
        <v>33</v>
      </c>
      <c r="Q500" t="s">
        <v>183</v>
      </c>
      <c r="R500" t="s">
        <v>596</v>
      </c>
    </row>
    <row r="501" spans="1:18">
      <c r="A501">
        <v>517</v>
      </c>
      <c r="B501" t="s">
        <v>18</v>
      </c>
      <c r="C501">
        <v>212</v>
      </c>
      <c r="D501">
        <v>331</v>
      </c>
      <c r="E501">
        <v>2.7</v>
      </c>
      <c r="F501" t="s">
        <v>1025</v>
      </c>
      <c r="G501" t="s">
        <v>1026</v>
      </c>
      <c r="H501" t="s">
        <v>331</v>
      </c>
      <c r="I501" t="s">
        <v>332</v>
      </c>
      <c r="J501" t="s">
        <v>66</v>
      </c>
      <c r="K501" t="s">
        <v>30</v>
      </c>
      <c r="L501">
        <v>200</v>
      </c>
      <c r="M501">
        <v>2010</v>
      </c>
      <c r="N501" t="s">
        <v>50</v>
      </c>
      <c r="O501" t="s">
        <v>96</v>
      </c>
      <c r="P501" t="s">
        <v>96</v>
      </c>
      <c r="Q501" t="s">
        <v>27</v>
      </c>
      <c r="R501" t="s">
        <v>39</v>
      </c>
    </row>
    <row r="502" spans="1:18">
      <c r="A502">
        <v>518</v>
      </c>
      <c r="B502" t="s">
        <v>112</v>
      </c>
      <c r="C502">
        <v>212</v>
      </c>
      <c r="D502">
        <v>331</v>
      </c>
      <c r="E502">
        <v>4.8</v>
      </c>
      <c r="F502" t="s">
        <v>105</v>
      </c>
      <c r="G502" t="s">
        <v>70</v>
      </c>
      <c r="H502" t="s">
        <v>71</v>
      </c>
      <c r="I502" t="s">
        <v>72</v>
      </c>
      <c r="J502" t="s">
        <v>73</v>
      </c>
      <c r="K502" t="s">
        <v>106</v>
      </c>
      <c r="L502">
        <v>500</v>
      </c>
      <c r="M502">
        <v>2012</v>
      </c>
      <c r="N502" t="s">
        <v>31</v>
      </c>
      <c r="O502" t="s">
        <v>37</v>
      </c>
      <c r="P502" t="s">
        <v>38</v>
      </c>
      <c r="Q502" t="s">
        <v>27</v>
      </c>
      <c r="R502" t="s">
        <v>39</v>
      </c>
    </row>
    <row r="503" spans="1:18">
      <c r="A503">
        <v>520</v>
      </c>
      <c r="B503" t="s">
        <v>18</v>
      </c>
      <c r="C503">
        <v>212</v>
      </c>
      <c r="D503">
        <v>331</v>
      </c>
      <c r="E503">
        <v>4</v>
      </c>
      <c r="F503" t="s">
        <v>1027</v>
      </c>
      <c r="G503" t="s">
        <v>145</v>
      </c>
      <c r="H503" t="s">
        <v>146</v>
      </c>
      <c r="I503" t="s">
        <v>147</v>
      </c>
      <c r="J503" t="s">
        <v>675</v>
      </c>
      <c r="K503" t="s">
        <v>30</v>
      </c>
      <c r="L503">
        <v>200</v>
      </c>
      <c r="M503">
        <v>-1</v>
      </c>
      <c r="N503" t="s">
        <v>31</v>
      </c>
      <c r="O503" t="s">
        <v>1028</v>
      </c>
      <c r="P503" t="s">
        <v>1029</v>
      </c>
      <c r="Q503" t="s">
        <v>359</v>
      </c>
      <c r="R503" t="s">
        <v>39</v>
      </c>
    </row>
    <row r="504" spans="1:18">
      <c r="A504">
        <v>521</v>
      </c>
      <c r="B504" t="s">
        <v>18</v>
      </c>
      <c r="C504">
        <v>212</v>
      </c>
      <c r="D504">
        <v>331</v>
      </c>
      <c r="E504">
        <v>3.8</v>
      </c>
      <c r="F504" t="s">
        <v>1030</v>
      </c>
      <c r="G504" t="s">
        <v>145</v>
      </c>
      <c r="H504" t="s">
        <v>146</v>
      </c>
      <c r="I504" t="s">
        <v>147</v>
      </c>
      <c r="J504" t="s">
        <v>524</v>
      </c>
      <c r="K504" t="s">
        <v>30</v>
      </c>
      <c r="L504">
        <v>200</v>
      </c>
      <c r="M504">
        <v>2010</v>
      </c>
      <c r="N504" t="s">
        <v>50</v>
      </c>
      <c r="O504" t="s">
        <v>98</v>
      </c>
      <c r="P504" t="s">
        <v>38</v>
      </c>
      <c r="Q504" t="s">
        <v>140</v>
      </c>
      <c r="R504" t="s">
        <v>39</v>
      </c>
    </row>
    <row r="505" spans="1:18">
      <c r="A505">
        <v>522</v>
      </c>
      <c r="B505" t="s">
        <v>112</v>
      </c>
      <c r="C505">
        <v>212</v>
      </c>
      <c r="D505">
        <v>331</v>
      </c>
      <c r="E505">
        <v>4.2</v>
      </c>
      <c r="F505" t="s">
        <v>1031</v>
      </c>
      <c r="G505" t="s">
        <v>884</v>
      </c>
      <c r="H505" t="s">
        <v>625</v>
      </c>
      <c r="I505" t="s">
        <v>626</v>
      </c>
      <c r="J505" t="s">
        <v>672</v>
      </c>
      <c r="K505" t="s">
        <v>56</v>
      </c>
      <c r="L505">
        <v>1000</v>
      </c>
      <c r="M505">
        <v>2012</v>
      </c>
      <c r="N505" t="s">
        <v>50</v>
      </c>
      <c r="O505" t="s">
        <v>86</v>
      </c>
      <c r="P505" t="s">
        <v>86</v>
      </c>
      <c r="Q505" t="s">
        <v>27</v>
      </c>
      <c r="R505" t="s">
        <v>39</v>
      </c>
    </row>
    <row r="506" spans="1:18">
      <c r="A506">
        <v>523</v>
      </c>
      <c r="B506" t="s">
        <v>112</v>
      </c>
      <c r="C506">
        <v>212</v>
      </c>
      <c r="D506">
        <v>331</v>
      </c>
      <c r="E506">
        <v>3.9</v>
      </c>
      <c r="F506" t="s">
        <v>593</v>
      </c>
      <c r="G506" t="s">
        <v>419</v>
      </c>
      <c r="H506" t="s">
        <v>259</v>
      </c>
      <c r="I506" t="s">
        <v>260</v>
      </c>
      <c r="J506" t="s">
        <v>595</v>
      </c>
      <c r="K506" t="s">
        <v>23</v>
      </c>
      <c r="L506">
        <v>5000</v>
      </c>
      <c r="M506">
        <v>1947</v>
      </c>
      <c r="N506" t="s">
        <v>24</v>
      </c>
      <c r="O506" t="s">
        <v>51</v>
      </c>
      <c r="P506" t="s">
        <v>33</v>
      </c>
      <c r="Q506" t="s">
        <v>183</v>
      </c>
      <c r="R506" t="s">
        <v>596</v>
      </c>
    </row>
    <row r="507" spans="1:18">
      <c r="A507">
        <v>524</v>
      </c>
      <c r="B507" t="s">
        <v>18</v>
      </c>
      <c r="C507">
        <v>212</v>
      </c>
      <c r="D507">
        <v>331</v>
      </c>
      <c r="E507">
        <v>-1</v>
      </c>
      <c r="F507" t="s">
        <v>1032</v>
      </c>
      <c r="G507" t="s">
        <v>20</v>
      </c>
      <c r="H507" t="s">
        <v>21</v>
      </c>
      <c r="I507" t="s">
        <v>20</v>
      </c>
      <c r="J507" t="s">
        <v>22</v>
      </c>
      <c r="K507" t="s">
        <v>546</v>
      </c>
      <c r="M507">
        <v>-1</v>
      </c>
      <c r="N507" t="s">
        <v>31</v>
      </c>
      <c r="O507" t="s">
        <v>39</v>
      </c>
      <c r="P507">
        <v>-1</v>
      </c>
      <c r="Q507" t="s">
        <v>27</v>
      </c>
      <c r="R507" t="s">
        <v>39</v>
      </c>
    </row>
    <row r="508" spans="1:18">
      <c r="A508">
        <v>525</v>
      </c>
      <c r="B508" t="s">
        <v>18</v>
      </c>
      <c r="C508">
        <v>212</v>
      </c>
      <c r="D508">
        <v>331</v>
      </c>
      <c r="E508">
        <v>4.5</v>
      </c>
      <c r="F508" t="s">
        <v>840</v>
      </c>
      <c r="G508" t="s">
        <v>145</v>
      </c>
      <c r="H508" t="s">
        <v>146</v>
      </c>
      <c r="I508" t="s">
        <v>147</v>
      </c>
      <c r="J508" t="s">
        <v>841</v>
      </c>
      <c r="K508" t="s">
        <v>67</v>
      </c>
      <c r="L508">
        <v>50</v>
      </c>
      <c r="M508">
        <v>1980</v>
      </c>
      <c r="N508" t="s">
        <v>31</v>
      </c>
      <c r="O508" t="s">
        <v>270</v>
      </c>
      <c r="P508" t="s">
        <v>33</v>
      </c>
      <c r="Q508" t="s">
        <v>27</v>
      </c>
      <c r="R508" t="s">
        <v>842</v>
      </c>
    </row>
    <row r="509" spans="1:18">
      <c r="A509">
        <v>526</v>
      </c>
      <c r="B509" t="s">
        <v>103</v>
      </c>
      <c r="C509">
        <v>212</v>
      </c>
      <c r="D509">
        <v>331</v>
      </c>
      <c r="E509">
        <v>3.5</v>
      </c>
      <c r="F509" t="s">
        <v>843</v>
      </c>
      <c r="G509" t="s">
        <v>844</v>
      </c>
      <c r="H509" t="s">
        <v>179</v>
      </c>
      <c r="I509" t="s">
        <v>145</v>
      </c>
      <c r="J509" t="s">
        <v>197</v>
      </c>
      <c r="K509" t="s">
        <v>106</v>
      </c>
      <c r="L509">
        <v>500</v>
      </c>
      <c r="M509">
        <v>2003</v>
      </c>
      <c r="N509" t="s">
        <v>24</v>
      </c>
      <c r="O509" t="s">
        <v>51</v>
      </c>
      <c r="P509" t="s">
        <v>33</v>
      </c>
      <c r="Q509" t="s">
        <v>42</v>
      </c>
      <c r="R509" t="s">
        <v>39</v>
      </c>
    </row>
    <row r="510" spans="1:18">
      <c r="A510">
        <v>527</v>
      </c>
      <c r="B510" t="s">
        <v>18</v>
      </c>
      <c r="C510">
        <v>212</v>
      </c>
      <c r="D510">
        <v>331</v>
      </c>
      <c r="E510">
        <v>2.7</v>
      </c>
      <c r="F510" t="s">
        <v>1033</v>
      </c>
      <c r="G510" t="s">
        <v>20</v>
      </c>
      <c r="H510" t="s">
        <v>21</v>
      </c>
      <c r="I510" t="s">
        <v>20</v>
      </c>
      <c r="J510" t="s">
        <v>1034</v>
      </c>
      <c r="K510" t="s">
        <v>23</v>
      </c>
      <c r="L510">
        <v>5000</v>
      </c>
      <c r="M510">
        <v>1976</v>
      </c>
      <c r="N510" t="s">
        <v>50</v>
      </c>
      <c r="O510" t="s">
        <v>1035</v>
      </c>
      <c r="P510" t="s">
        <v>33</v>
      </c>
      <c r="Q510" t="s">
        <v>52</v>
      </c>
      <c r="R510" t="s">
        <v>39</v>
      </c>
    </row>
    <row r="511" spans="1:18">
      <c r="A511">
        <v>528</v>
      </c>
      <c r="B511" t="s">
        <v>18</v>
      </c>
      <c r="C511">
        <v>212</v>
      </c>
      <c r="D511">
        <v>331</v>
      </c>
      <c r="E511">
        <v>3.5</v>
      </c>
      <c r="F511" t="s">
        <v>1036</v>
      </c>
      <c r="G511" t="s">
        <v>145</v>
      </c>
      <c r="H511" t="s">
        <v>146</v>
      </c>
      <c r="I511" t="s">
        <v>147</v>
      </c>
      <c r="J511" t="s">
        <v>945</v>
      </c>
      <c r="K511" t="s">
        <v>30</v>
      </c>
      <c r="L511">
        <v>200</v>
      </c>
      <c r="M511">
        <v>2012</v>
      </c>
      <c r="N511" t="s">
        <v>31</v>
      </c>
      <c r="O511" t="s">
        <v>75</v>
      </c>
      <c r="P511" t="s">
        <v>33</v>
      </c>
      <c r="Q511" t="s">
        <v>64</v>
      </c>
      <c r="R511" t="s">
        <v>39</v>
      </c>
    </row>
    <row r="512" spans="1:18">
      <c r="A512">
        <v>529</v>
      </c>
      <c r="B512" t="s">
        <v>18</v>
      </c>
      <c r="C512">
        <v>66</v>
      </c>
      <c r="D512">
        <v>112</v>
      </c>
      <c r="E512">
        <v>4.9000000000000004</v>
      </c>
      <c r="F512" t="s">
        <v>340</v>
      </c>
      <c r="G512" t="s">
        <v>341</v>
      </c>
      <c r="H512" t="s">
        <v>342</v>
      </c>
      <c r="I512" t="s">
        <v>343</v>
      </c>
      <c r="J512" t="s">
        <v>155</v>
      </c>
      <c r="K512" t="s">
        <v>67</v>
      </c>
      <c r="L512">
        <v>50</v>
      </c>
      <c r="M512">
        <v>2016</v>
      </c>
      <c r="N512" t="s">
        <v>31</v>
      </c>
      <c r="O512" t="s">
        <v>270</v>
      </c>
      <c r="P512" t="s">
        <v>33</v>
      </c>
      <c r="Q512" t="s">
        <v>27</v>
      </c>
      <c r="R512" t="s">
        <v>39</v>
      </c>
    </row>
    <row r="513" spans="1:18">
      <c r="A513">
        <v>530</v>
      </c>
      <c r="B513" t="s">
        <v>18</v>
      </c>
      <c r="C513">
        <v>66</v>
      </c>
      <c r="D513">
        <v>112</v>
      </c>
      <c r="E513">
        <v>3.6</v>
      </c>
      <c r="F513" t="s">
        <v>335</v>
      </c>
      <c r="G513" t="s">
        <v>145</v>
      </c>
      <c r="H513" t="s">
        <v>146</v>
      </c>
      <c r="I513" t="s">
        <v>147</v>
      </c>
      <c r="J513" t="s">
        <v>336</v>
      </c>
      <c r="K513" t="s">
        <v>30</v>
      </c>
      <c r="L513">
        <v>200</v>
      </c>
      <c r="M513">
        <v>2001</v>
      </c>
      <c r="N513" t="s">
        <v>31</v>
      </c>
      <c r="O513" t="s">
        <v>98</v>
      </c>
      <c r="P513" t="s">
        <v>38</v>
      </c>
      <c r="Q513" t="s">
        <v>64</v>
      </c>
      <c r="R513" t="s">
        <v>39</v>
      </c>
    </row>
    <row r="514" spans="1:18">
      <c r="A514">
        <v>531</v>
      </c>
      <c r="B514" t="s">
        <v>18</v>
      </c>
      <c r="C514">
        <v>66</v>
      </c>
      <c r="D514">
        <v>112</v>
      </c>
      <c r="E514">
        <v>5</v>
      </c>
      <c r="F514" t="s">
        <v>1037</v>
      </c>
      <c r="G514" t="s">
        <v>145</v>
      </c>
      <c r="H514" t="s">
        <v>146</v>
      </c>
      <c r="I514" t="s">
        <v>147</v>
      </c>
      <c r="J514" t="s">
        <v>923</v>
      </c>
      <c r="K514" t="s">
        <v>67</v>
      </c>
      <c r="L514">
        <v>50</v>
      </c>
      <c r="M514">
        <v>-1</v>
      </c>
      <c r="N514" t="s">
        <v>31</v>
      </c>
      <c r="O514" t="s">
        <v>39</v>
      </c>
      <c r="P514">
        <v>-1</v>
      </c>
      <c r="Q514" t="s">
        <v>27</v>
      </c>
      <c r="R514" t="s">
        <v>39</v>
      </c>
    </row>
    <row r="515" spans="1:18">
      <c r="A515">
        <v>532</v>
      </c>
      <c r="B515" t="s">
        <v>18</v>
      </c>
      <c r="C515">
        <v>66</v>
      </c>
      <c r="D515">
        <v>112</v>
      </c>
      <c r="E515">
        <v>3.1</v>
      </c>
      <c r="F515" t="s">
        <v>848</v>
      </c>
      <c r="G515" t="s">
        <v>849</v>
      </c>
      <c r="H515" t="s">
        <v>120</v>
      </c>
      <c r="I515" t="s">
        <v>121</v>
      </c>
      <c r="J515" t="s">
        <v>672</v>
      </c>
      <c r="K515" t="s">
        <v>67</v>
      </c>
      <c r="L515">
        <v>50</v>
      </c>
      <c r="M515">
        <v>2001</v>
      </c>
      <c r="N515" t="s">
        <v>31</v>
      </c>
      <c r="O515" t="s">
        <v>270</v>
      </c>
      <c r="P515" t="s">
        <v>33</v>
      </c>
      <c r="Q515" t="s">
        <v>68</v>
      </c>
      <c r="R515" t="s">
        <v>39</v>
      </c>
    </row>
    <row r="516" spans="1:18">
      <c r="A516">
        <v>533</v>
      </c>
      <c r="B516" t="s">
        <v>195</v>
      </c>
      <c r="C516">
        <v>66</v>
      </c>
      <c r="D516">
        <v>112</v>
      </c>
      <c r="E516">
        <v>3.9</v>
      </c>
      <c r="F516" t="s">
        <v>1038</v>
      </c>
      <c r="G516" t="s">
        <v>129</v>
      </c>
      <c r="H516" t="s">
        <v>120</v>
      </c>
      <c r="I516" t="s">
        <v>121</v>
      </c>
      <c r="J516" t="s">
        <v>36</v>
      </c>
      <c r="K516" t="s">
        <v>56</v>
      </c>
      <c r="L516">
        <v>1000</v>
      </c>
      <c r="M516">
        <v>2009</v>
      </c>
      <c r="N516" t="s">
        <v>31</v>
      </c>
      <c r="O516" t="s">
        <v>41</v>
      </c>
      <c r="P516" t="s">
        <v>38</v>
      </c>
      <c r="Q516" t="s">
        <v>27</v>
      </c>
      <c r="R516" t="s">
        <v>39</v>
      </c>
    </row>
    <row r="517" spans="1:18">
      <c r="A517">
        <v>534</v>
      </c>
      <c r="B517" t="s">
        <v>18</v>
      </c>
      <c r="C517">
        <v>66</v>
      </c>
      <c r="D517">
        <v>112</v>
      </c>
      <c r="E517">
        <v>3.4</v>
      </c>
      <c r="F517" t="s">
        <v>1039</v>
      </c>
      <c r="G517" t="s">
        <v>1040</v>
      </c>
      <c r="H517" t="s">
        <v>71</v>
      </c>
      <c r="I517" t="s">
        <v>72</v>
      </c>
      <c r="J517" t="s">
        <v>165</v>
      </c>
      <c r="K517" t="s">
        <v>30</v>
      </c>
      <c r="L517">
        <v>200</v>
      </c>
      <c r="M517">
        <v>1986</v>
      </c>
      <c r="N517" t="s">
        <v>31</v>
      </c>
      <c r="O517" t="s">
        <v>98</v>
      </c>
      <c r="P517" t="s">
        <v>38</v>
      </c>
      <c r="Q517" t="s">
        <v>64</v>
      </c>
      <c r="R517" t="s">
        <v>39</v>
      </c>
    </row>
    <row r="518" spans="1:18">
      <c r="A518">
        <v>535</v>
      </c>
      <c r="B518" t="s">
        <v>103</v>
      </c>
      <c r="C518">
        <v>66</v>
      </c>
      <c r="D518">
        <v>112</v>
      </c>
      <c r="E518">
        <v>4.0999999999999996</v>
      </c>
      <c r="F518" t="s">
        <v>1041</v>
      </c>
      <c r="G518" t="s">
        <v>292</v>
      </c>
      <c r="H518" t="s">
        <v>120</v>
      </c>
      <c r="I518" t="s">
        <v>121</v>
      </c>
      <c r="J518" t="s">
        <v>1042</v>
      </c>
      <c r="K518" t="s">
        <v>85</v>
      </c>
      <c r="M518">
        <v>1976</v>
      </c>
      <c r="N518" t="s">
        <v>50</v>
      </c>
      <c r="O518" t="s">
        <v>37</v>
      </c>
      <c r="P518" t="s">
        <v>38</v>
      </c>
      <c r="Q518" t="s">
        <v>87</v>
      </c>
      <c r="R518" t="s">
        <v>1043</v>
      </c>
    </row>
    <row r="519" spans="1:18">
      <c r="A519">
        <v>536</v>
      </c>
      <c r="B519" t="s">
        <v>18</v>
      </c>
      <c r="C519">
        <v>66</v>
      </c>
      <c r="D519">
        <v>112</v>
      </c>
      <c r="E519">
        <v>4.0999999999999996</v>
      </c>
      <c r="F519" t="s">
        <v>1044</v>
      </c>
      <c r="G519" t="s">
        <v>1045</v>
      </c>
      <c r="H519" t="s">
        <v>46</v>
      </c>
      <c r="I519" t="s">
        <v>47</v>
      </c>
      <c r="J519" t="s">
        <v>1046</v>
      </c>
      <c r="K519" t="s">
        <v>85</v>
      </c>
      <c r="M519">
        <v>1966</v>
      </c>
      <c r="N519" t="s">
        <v>50</v>
      </c>
      <c r="O519" t="s">
        <v>270</v>
      </c>
      <c r="P519" t="s">
        <v>33</v>
      </c>
      <c r="Q519" t="s">
        <v>52</v>
      </c>
      <c r="R519" t="s">
        <v>39</v>
      </c>
    </row>
    <row r="520" spans="1:18">
      <c r="A520">
        <v>537</v>
      </c>
      <c r="B520" t="s">
        <v>18</v>
      </c>
      <c r="C520">
        <v>66</v>
      </c>
      <c r="D520">
        <v>112</v>
      </c>
      <c r="E520">
        <v>3.5</v>
      </c>
      <c r="F520" t="s">
        <v>850</v>
      </c>
      <c r="G520" t="s">
        <v>370</v>
      </c>
      <c r="H520" t="s">
        <v>342</v>
      </c>
      <c r="I520" t="s">
        <v>343</v>
      </c>
      <c r="J520" t="s">
        <v>371</v>
      </c>
      <c r="K520" t="s">
        <v>106</v>
      </c>
      <c r="L520">
        <v>500</v>
      </c>
      <c r="M520">
        <v>2011</v>
      </c>
      <c r="N520" t="s">
        <v>31</v>
      </c>
      <c r="O520" t="s">
        <v>851</v>
      </c>
      <c r="P520" t="s">
        <v>743</v>
      </c>
      <c r="Q520" t="s">
        <v>27</v>
      </c>
      <c r="R520" t="s">
        <v>39</v>
      </c>
    </row>
    <row r="521" spans="1:18">
      <c r="A521">
        <v>538</v>
      </c>
      <c r="B521" t="s">
        <v>99</v>
      </c>
      <c r="C521">
        <v>66</v>
      </c>
      <c r="D521">
        <v>112</v>
      </c>
      <c r="E521">
        <v>4.3</v>
      </c>
      <c r="F521" t="s">
        <v>597</v>
      </c>
      <c r="G521" t="s">
        <v>570</v>
      </c>
      <c r="H521" t="s">
        <v>46</v>
      </c>
      <c r="I521" t="s">
        <v>47</v>
      </c>
      <c r="J521" t="s">
        <v>368</v>
      </c>
      <c r="K521" t="s">
        <v>56</v>
      </c>
      <c r="L521">
        <v>1000</v>
      </c>
      <c r="M521">
        <v>2010</v>
      </c>
      <c r="N521" t="s">
        <v>31</v>
      </c>
      <c r="O521" t="s">
        <v>98</v>
      </c>
      <c r="P521" t="s">
        <v>38</v>
      </c>
      <c r="Q521" t="s">
        <v>42</v>
      </c>
      <c r="R521" t="s">
        <v>598</v>
      </c>
    </row>
    <row r="522" spans="1:18">
      <c r="A522">
        <v>539</v>
      </c>
      <c r="B522" t="s">
        <v>112</v>
      </c>
      <c r="C522">
        <v>66</v>
      </c>
      <c r="D522">
        <v>112</v>
      </c>
      <c r="E522">
        <v>4.4000000000000004</v>
      </c>
      <c r="F522" t="s">
        <v>1047</v>
      </c>
      <c r="G522" t="s">
        <v>152</v>
      </c>
      <c r="H522" t="s">
        <v>153</v>
      </c>
      <c r="I522" t="s">
        <v>154</v>
      </c>
      <c r="J522" t="s">
        <v>155</v>
      </c>
      <c r="K522" t="s">
        <v>106</v>
      </c>
      <c r="L522">
        <v>500</v>
      </c>
      <c r="M522">
        <v>2012</v>
      </c>
      <c r="N522" t="s">
        <v>31</v>
      </c>
      <c r="O522" t="s">
        <v>436</v>
      </c>
      <c r="P522" t="s">
        <v>102</v>
      </c>
      <c r="Q522" t="s">
        <v>42</v>
      </c>
      <c r="R522" t="s">
        <v>39</v>
      </c>
    </row>
    <row r="523" spans="1:18">
      <c r="A523">
        <v>540</v>
      </c>
      <c r="B523" t="s">
        <v>18</v>
      </c>
      <c r="C523">
        <v>66</v>
      </c>
      <c r="D523">
        <v>112</v>
      </c>
      <c r="E523">
        <v>3.8</v>
      </c>
      <c r="F523" t="s">
        <v>852</v>
      </c>
      <c r="G523" t="s">
        <v>833</v>
      </c>
      <c r="H523" t="s">
        <v>120</v>
      </c>
      <c r="I523" t="s">
        <v>121</v>
      </c>
      <c r="J523" t="s">
        <v>853</v>
      </c>
      <c r="K523" t="s">
        <v>23</v>
      </c>
      <c r="L523">
        <v>5000</v>
      </c>
      <c r="M523">
        <v>1999</v>
      </c>
      <c r="N523" t="s">
        <v>31</v>
      </c>
      <c r="O523" t="s">
        <v>98</v>
      </c>
      <c r="P523" t="s">
        <v>38</v>
      </c>
      <c r="Q523" t="s">
        <v>198</v>
      </c>
      <c r="R523" t="s">
        <v>39</v>
      </c>
    </row>
    <row r="524" spans="1:18">
      <c r="A524">
        <v>541</v>
      </c>
      <c r="B524" t="s">
        <v>18</v>
      </c>
      <c r="C524">
        <v>66</v>
      </c>
      <c r="D524">
        <v>112</v>
      </c>
      <c r="E524">
        <v>3.7</v>
      </c>
      <c r="F524" t="s">
        <v>854</v>
      </c>
      <c r="G524" t="s">
        <v>60</v>
      </c>
      <c r="H524" t="s">
        <v>46</v>
      </c>
      <c r="I524" t="s">
        <v>47</v>
      </c>
      <c r="J524" t="s">
        <v>787</v>
      </c>
      <c r="K524" t="s">
        <v>49</v>
      </c>
      <c r="L524">
        <v>10000</v>
      </c>
      <c r="M524">
        <v>1908</v>
      </c>
      <c r="N524" t="s">
        <v>284</v>
      </c>
      <c r="O524" t="s">
        <v>181</v>
      </c>
      <c r="P524" t="s">
        <v>182</v>
      </c>
      <c r="Q524" t="s">
        <v>27</v>
      </c>
      <c r="R524" t="s">
        <v>855</v>
      </c>
    </row>
    <row r="525" spans="1:18">
      <c r="A525">
        <v>542</v>
      </c>
      <c r="B525" t="s">
        <v>112</v>
      </c>
      <c r="C525">
        <v>66</v>
      </c>
      <c r="D525">
        <v>112</v>
      </c>
      <c r="E525">
        <v>3.9</v>
      </c>
      <c r="F525" t="s">
        <v>593</v>
      </c>
      <c r="G525" t="s">
        <v>1048</v>
      </c>
      <c r="H525" t="s">
        <v>214</v>
      </c>
      <c r="I525" t="s">
        <v>215</v>
      </c>
      <c r="J525" t="s">
        <v>595</v>
      </c>
      <c r="K525" t="s">
        <v>23</v>
      </c>
      <c r="L525">
        <v>5000</v>
      </c>
      <c r="M525">
        <v>1947</v>
      </c>
      <c r="N525" t="s">
        <v>24</v>
      </c>
      <c r="O525" t="s">
        <v>51</v>
      </c>
      <c r="P525" t="s">
        <v>33</v>
      </c>
      <c r="Q525" t="s">
        <v>183</v>
      </c>
      <c r="R525" t="s">
        <v>596</v>
      </c>
    </row>
    <row r="526" spans="1:18">
      <c r="A526">
        <v>543</v>
      </c>
      <c r="B526" t="s">
        <v>18</v>
      </c>
      <c r="C526">
        <v>66</v>
      </c>
      <c r="D526">
        <v>112</v>
      </c>
      <c r="E526">
        <v>3.9</v>
      </c>
      <c r="F526" t="s">
        <v>1049</v>
      </c>
      <c r="G526" t="s">
        <v>1050</v>
      </c>
      <c r="H526" t="s">
        <v>331</v>
      </c>
      <c r="I526" t="s">
        <v>332</v>
      </c>
      <c r="J526" t="s">
        <v>368</v>
      </c>
      <c r="K526" t="s">
        <v>56</v>
      </c>
      <c r="L526">
        <v>1000</v>
      </c>
      <c r="M526">
        <v>2006</v>
      </c>
      <c r="N526" t="s">
        <v>31</v>
      </c>
      <c r="O526" t="s">
        <v>98</v>
      </c>
      <c r="P526" t="s">
        <v>38</v>
      </c>
      <c r="Q526" t="s">
        <v>64</v>
      </c>
      <c r="R526" t="s">
        <v>39</v>
      </c>
    </row>
    <row r="527" spans="1:18">
      <c r="A527">
        <v>544</v>
      </c>
      <c r="B527" t="s">
        <v>112</v>
      </c>
      <c r="C527">
        <v>66</v>
      </c>
      <c r="D527">
        <v>112</v>
      </c>
      <c r="E527">
        <v>3.7</v>
      </c>
      <c r="F527" t="s">
        <v>534</v>
      </c>
      <c r="G527" t="s">
        <v>70</v>
      </c>
      <c r="H527" t="s">
        <v>71</v>
      </c>
      <c r="I527" t="s">
        <v>72</v>
      </c>
      <c r="J527" t="s">
        <v>535</v>
      </c>
      <c r="K527" t="s">
        <v>49</v>
      </c>
      <c r="L527">
        <v>10000</v>
      </c>
      <c r="M527">
        <v>1851</v>
      </c>
      <c r="N527" t="s">
        <v>31</v>
      </c>
      <c r="O527" t="s">
        <v>25</v>
      </c>
      <c r="P527" t="s">
        <v>26</v>
      </c>
      <c r="Q527" t="s">
        <v>87</v>
      </c>
      <c r="R527" t="s">
        <v>39</v>
      </c>
    </row>
    <row r="528" spans="1:18">
      <c r="A528">
        <v>545</v>
      </c>
      <c r="B528" t="s">
        <v>18</v>
      </c>
      <c r="C528">
        <v>66</v>
      </c>
      <c r="D528">
        <v>112</v>
      </c>
      <c r="E528">
        <v>2.9</v>
      </c>
      <c r="F528" t="s">
        <v>1051</v>
      </c>
      <c r="G528" t="s">
        <v>145</v>
      </c>
      <c r="H528" t="s">
        <v>146</v>
      </c>
      <c r="I528" t="s">
        <v>147</v>
      </c>
      <c r="J528" t="s">
        <v>368</v>
      </c>
      <c r="K528" t="s">
        <v>56</v>
      </c>
      <c r="L528">
        <v>1000</v>
      </c>
      <c r="M528">
        <v>-1</v>
      </c>
      <c r="N528" t="s">
        <v>857</v>
      </c>
      <c r="O528" t="s">
        <v>98</v>
      </c>
      <c r="P528" t="s">
        <v>38</v>
      </c>
      <c r="Q528" t="s">
        <v>64</v>
      </c>
      <c r="R528" t="s">
        <v>39</v>
      </c>
    </row>
    <row r="529" spans="1:18">
      <c r="A529">
        <v>546</v>
      </c>
      <c r="B529" t="s">
        <v>18</v>
      </c>
      <c r="C529">
        <v>66</v>
      </c>
      <c r="D529">
        <v>112</v>
      </c>
      <c r="E529">
        <v>4.5999999999999996</v>
      </c>
      <c r="F529" t="s">
        <v>1052</v>
      </c>
      <c r="G529" t="s">
        <v>20</v>
      </c>
      <c r="H529" t="s">
        <v>21</v>
      </c>
      <c r="I529" t="s">
        <v>20</v>
      </c>
      <c r="J529" t="s">
        <v>1053</v>
      </c>
      <c r="K529" t="s">
        <v>30</v>
      </c>
      <c r="L529">
        <v>200</v>
      </c>
      <c r="M529">
        <v>2012</v>
      </c>
      <c r="N529" t="s">
        <v>31</v>
      </c>
      <c r="O529" t="s">
        <v>98</v>
      </c>
      <c r="P529" t="s">
        <v>38</v>
      </c>
      <c r="Q529" t="s">
        <v>27</v>
      </c>
      <c r="R529" t="s">
        <v>39</v>
      </c>
    </row>
    <row r="530" spans="1:18">
      <c r="A530">
        <v>547</v>
      </c>
      <c r="B530" t="s">
        <v>18</v>
      </c>
      <c r="C530">
        <v>66</v>
      </c>
      <c r="D530">
        <v>112</v>
      </c>
      <c r="E530">
        <v>3.4</v>
      </c>
      <c r="F530" t="s">
        <v>1054</v>
      </c>
      <c r="G530" t="s">
        <v>60</v>
      </c>
      <c r="H530" t="s">
        <v>46</v>
      </c>
      <c r="I530" t="s">
        <v>47</v>
      </c>
      <c r="J530" t="s">
        <v>566</v>
      </c>
      <c r="K530" t="s">
        <v>106</v>
      </c>
      <c r="L530">
        <v>500</v>
      </c>
      <c r="M530">
        <v>1997</v>
      </c>
      <c r="N530" t="s">
        <v>31</v>
      </c>
      <c r="O530" t="s">
        <v>57</v>
      </c>
      <c r="P530" t="s">
        <v>38</v>
      </c>
      <c r="Q530" t="s">
        <v>140</v>
      </c>
      <c r="R530" t="s">
        <v>39</v>
      </c>
    </row>
    <row r="531" spans="1:18">
      <c r="A531">
        <v>548</v>
      </c>
      <c r="B531" t="s">
        <v>195</v>
      </c>
      <c r="C531">
        <v>66</v>
      </c>
      <c r="D531">
        <v>112</v>
      </c>
      <c r="E531">
        <v>4</v>
      </c>
      <c r="F531" t="s">
        <v>858</v>
      </c>
      <c r="G531" t="s">
        <v>607</v>
      </c>
      <c r="H531" t="s">
        <v>608</v>
      </c>
      <c r="I531" t="s">
        <v>609</v>
      </c>
      <c r="J531" t="s">
        <v>324</v>
      </c>
      <c r="K531" t="s">
        <v>85</v>
      </c>
      <c r="M531">
        <v>1853</v>
      </c>
      <c r="N531" t="s">
        <v>50</v>
      </c>
      <c r="O531" t="s">
        <v>25</v>
      </c>
      <c r="P531" t="s">
        <v>26</v>
      </c>
      <c r="Q531" t="s">
        <v>87</v>
      </c>
      <c r="R531" t="s">
        <v>39</v>
      </c>
    </row>
    <row r="532" spans="1:18">
      <c r="A532">
        <v>549</v>
      </c>
      <c r="B532" t="s">
        <v>18</v>
      </c>
      <c r="C532">
        <v>128</v>
      </c>
      <c r="D532">
        <v>201</v>
      </c>
      <c r="E532">
        <v>3.3</v>
      </c>
      <c r="F532" t="s">
        <v>326</v>
      </c>
      <c r="G532" t="s">
        <v>327</v>
      </c>
      <c r="H532" t="s">
        <v>120</v>
      </c>
      <c r="I532" t="s">
        <v>121</v>
      </c>
      <c r="J532" t="s">
        <v>328</v>
      </c>
      <c r="K532" t="s">
        <v>106</v>
      </c>
      <c r="L532">
        <v>500</v>
      </c>
      <c r="M532">
        <v>2003</v>
      </c>
      <c r="N532" t="s">
        <v>50</v>
      </c>
      <c r="O532" t="s">
        <v>86</v>
      </c>
      <c r="P532" t="s">
        <v>86</v>
      </c>
      <c r="Q532" t="s">
        <v>42</v>
      </c>
      <c r="R532" t="s">
        <v>39</v>
      </c>
    </row>
    <row r="533" spans="1:18">
      <c r="A533">
        <v>550</v>
      </c>
      <c r="B533" t="s">
        <v>18</v>
      </c>
      <c r="C533">
        <v>128</v>
      </c>
      <c r="D533">
        <v>201</v>
      </c>
      <c r="E533">
        <v>4.3</v>
      </c>
      <c r="F533" t="s">
        <v>344</v>
      </c>
      <c r="G533" t="s">
        <v>345</v>
      </c>
      <c r="H533" t="s">
        <v>214</v>
      </c>
      <c r="I533" t="s">
        <v>215</v>
      </c>
      <c r="J533" t="s">
        <v>346</v>
      </c>
      <c r="K533" t="s">
        <v>30</v>
      </c>
      <c r="L533">
        <v>200</v>
      </c>
      <c r="M533">
        <v>1999</v>
      </c>
      <c r="N533" t="s">
        <v>31</v>
      </c>
      <c r="O533" t="s">
        <v>37</v>
      </c>
      <c r="P533" t="s">
        <v>38</v>
      </c>
      <c r="Q533" t="s">
        <v>64</v>
      </c>
      <c r="R533" t="s">
        <v>39</v>
      </c>
    </row>
    <row r="534" spans="1:18">
      <c r="A534">
        <v>551</v>
      </c>
      <c r="B534" t="s">
        <v>18</v>
      </c>
      <c r="C534">
        <v>128</v>
      </c>
      <c r="D534">
        <v>201</v>
      </c>
      <c r="E534">
        <v>3.9</v>
      </c>
      <c r="F534" t="s">
        <v>1038</v>
      </c>
      <c r="G534" t="s">
        <v>129</v>
      </c>
      <c r="H534" t="s">
        <v>120</v>
      </c>
      <c r="I534" t="s">
        <v>121</v>
      </c>
      <c r="J534" t="s">
        <v>36</v>
      </c>
      <c r="K534" t="s">
        <v>56</v>
      </c>
      <c r="L534">
        <v>1000</v>
      </c>
      <c r="M534">
        <v>2009</v>
      </c>
      <c r="N534" t="s">
        <v>31</v>
      </c>
      <c r="O534" t="s">
        <v>41</v>
      </c>
      <c r="P534" t="s">
        <v>38</v>
      </c>
      <c r="Q534" t="s">
        <v>27</v>
      </c>
      <c r="R534" t="s">
        <v>39</v>
      </c>
    </row>
    <row r="535" spans="1:18">
      <c r="A535">
        <v>552</v>
      </c>
      <c r="B535" t="s">
        <v>99</v>
      </c>
      <c r="C535">
        <v>128</v>
      </c>
      <c r="D535">
        <v>201</v>
      </c>
      <c r="E535">
        <v>3.6</v>
      </c>
      <c r="F535" t="s">
        <v>859</v>
      </c>
      <c r="G535" t="s">
        <v>129</v>
      </c>
      <c r="H535" t="s">
        <v>120</v>
      </c>
      <c r="I535" t="s">
        <v>121</v>
      </c>
      <c r="J535" t="s">
        <v>36</v>
      </c>
      <c r="K535" t="s">
        <v>23</v>
      </c>
      <c r="L535">
        <v>5000</v>
      </c>
      <c r="M535">
        <v>2011</v>
      </c>
      <c r="N535" t="s">
        <v>284</v>
      </c>
      <c r="O535" t="s">
        <v>41</v>
      </c>
      <c r="P535" t="s">
        <v>38</v>
      </c>
      <c r="Q535" t="s">
        <v>27</v>
      </c>
      <c r="R535" t="s">
        <v>39</v>
      </c>
    </row>
    <row r="536" spans="1:18">
      <c r="A536">
        <v>553</v>
      </c>
      <c r="B536" t="s">
        <v>103</v>
      </c>
      <c r="C536">
        <v>128</v>
      </c>
      <c r="D536">
        <v>201</v>
      </c>
      <c r="E536">
        <v>4.7</v>
      </c>
      <c r="F536" t="s">
        <v>1055</v>
      </c>
      <c r="G536" t="s">
        <v>1056</v>
      </c>
      <c r="H536" t="s">
        <v>441</v>
      </c>
      <c r="I536" t="s">
        <v>442</v>
      </c>
      <c r="J536" t="s">
        <v>36</v>
      </c>
      <c r="K536" t="s">
        <v>23</v>
      </c>
      <c r="L536">
        <v>5000</v>
      </c>
      <c r="M536">
        <v>2008</v>
      </c>
      <c r="N536" t="s">
        <v>50</v>
      </c>
      <c r="O536" t="s">
        <v>37</v>
      </c>
      <c r="P536" t="s">
        <v>38</v>
      </c>
      <c r="Q536" t="s">
        <v>42</v>
      </c>
      <c r="R536" t="s">
        <v>1057</v>
      </c>
    </row>
    <row r="537" spans="1:18">
      <c r="A537">
        <v>554</v>
      </c>
      <c r="B537" t="s">
        <v>112</v>
      </c>
      <c r="C537">
        <v>128</v>
      </c>
      <c r="D537">
        <v>201</v>
      </c>
      <c r="E537">
        <v>3.6</v>
      </c>
      <c r="F537" t="s">
        <v>860</v>
      </c>
      <c r="G537" t="s">
        <v>83</v>
      </c>
      <c r="H537" t="s">
        <v>71</v>
      </c>
      <c r="I537" t="s">
        <v>72</v>
      </c>
      <c r="J537" t="s">
        <v>108</v>
      </c>
      <c r="K537" t="s">
        <v>49</v>
      </c>
      <c r="L537">
        <v>10000</v>
      </c>
      <c r="M537">
        <v>1978</v>
      </c>
      <c r="N537" t="s">
        <v>50</v>
      </c>
      <c r="O537" t="s">
        <v>86</v>
      </c>
      <c r="P537" t="s">
        <v>86</v>
      </c>
      <c r="Q537" t="s">
        <v>87</v>
      </c>
      <c r="R537" t="s">
        <v>39</v>
      </c>
    </row>
    <row r="538" spans="1:18">
      <c r="A538">
        <v>556</v>
      </c>
      <c r="B538" t="s">
        <v>103</v>
      </c>
      <c r="C538">
        <v>128</v>
      </c>
      <c r="D538">
        <v>201</v>
      </c>
      <c r="E538">
        <v>3.3</v>
      </c>
      <c r="F538" t="s">
        <v>295</v>
      </c>
      <c r="G538" t="s">
        <v>304</v>
      </c>
      <c r="H538" t="s">
        <v>120</v>
      </c>
      <c r="I538" t="s">
        <v>121</v>
      </c>
      <c r="J538" t="s">
        <v>155</v>
      </c>
      <c r="K538" t="s">
        <v>56</v>
      </c>
      <c r="L538">
        <v>1000</v>
      </c>
      <c r="M538">
        <v>2015</v>
      </c>
      <c r="N538" t="s">
        <v>31</v>
      </c>
      <c r="O538" t="s">
        <v>86</v>
      </c>
      <c r="P538" t="s">
        <v>86</v>
      </c>
      <c r="Q538" t="s">
        <v>27</v>
      </c>
      <c r="R538" t="s">
        <v>39</v>
      </c>
    </row>
    <row r="539" spans="1:18">
      <c r="A539">
        <v>557</v>
      </c>
      <c r="B539" t="s">
        <v>18</v>
      </c>
      <c r="C539">
        <v>128</v>
      </c>
      <c r="D539">
        <v>201</v>
      </c>
      <c r="E539">
        <v>3.3</v>
      </c>
      <c r="F539" t="s">
        <v>1058</v>
      </c>
      <c r="G539" t="s">
        <v>124</v>
      </c>
      <c r="H539" t="s">
        <v>120</v>
      </c>
      <c r="I539" t="s">
        <v>121</v>
      </c>
      <c r="J539" t="s">
        <v>462</v>
      </c>
      <c r="K539" t="s">
        <v>56</v>
      </c>
      <c r="L539">
        <v>1000</v>
      </c>
      <c r="M539">
        <v>1972</v>
      </c>
      <c r="N539" t="s">
        <v>31</v>
      </c>
      <c r="O539" t="s">
        <v>25</v>
      </c>
      <c r="P539" t="s">
        <v>26</v>
      </c>
      <c r="Q539" t="s">
        <v>183</v>
      </c>
      <c r="R539" t="s">
        <v>1059</v>
      </c>
    </row>
    <row r="540" spans="1:18">
      <c r="A540">
        <v>558</v>
      </c>
      <c r="B540" t="s">
        <v>99</v>
      </c>
      <c r="C540">
        <v>128</v>
      </c>
      <c r="D540">
        <v>201</v>
      </c>
      <c r="E540">
        <v>3.8</v>
      </c>
      <c r="F540" t="s">
        <v>1060</v>
      </c>
      <c r="G540" t="s">
        <v>20</v>
      </c>
      <c r="H540" t="s">
        <v>21</v>
      </c>
      <c r="I540" t="s">
        <v>20</v>
      </c>
      <c r="J540" t="s">
        <v>1061</v>
      </c>
      <c r="K540" t="s">
        <v>30</v>
      </c>
      <c r="L540">
        <v>200</v>
      </c>
      <c r="M540">
        <v>1996</v>
      </c>
      <c r="N540" t="s">
        <v>24</v>
      </c>
      <c r="O540" t="s">
        <v>75</v>
      </c>
      <c r="P540" t="s">
        <v>33</v>
      </c>
      <c r="Q540" t="s">
        <v>64</v>
      </c>
      <c r="R540" t="s">
        <v>1062</v>
      </c>
    </row>
    <row r="541" spans="1:18">
      <c r="A541">
        <v>559</v>
      </c>
      <c r="B541" t="s">
        <v>18</v>
      </c>
      <c r="C541">
        <v>128</v>
      </c>
      <c r="D541">
        <v>201</v>
      </c>
      <c r="E541">
        <v>4.5</v>
      </c>
      <c r="F541" t="s">
        <v>1063</v>
      </c>
      <c r="G541" t="s">
        <v>45</v>
      </c>
      <c r="H541" t="s">
        <v>46</v>
      </c>
      <c r="I541" t="s">
        <v>47</v>
      </c>
      <c r="J541" t="s">
        <v>568</v>
      </c>
      <c r="K541" t="s">
        <v>56</v>
      </c>
      <c r="L541">
        <v>1000</v>
      </c>
      <c r="M541">
        <v>2004</v>
      </c>
      <c r="N541" t="s">
        <v>31</v>
      </c>
      <c r="O541" t="s">
        <v>75</v>
      </c>
      <c r="P541" t="s">
        <v>33</v>
      </c>
      <c r="Q541" t="s">
        <v>27</v>
      </c>
      <c r="R541" t="s">
        <v>39</v>
      </c>
    </row>
    <row r="542" spans="1:18">
      <c r="A542">
        <v>560</v>
      </c>
      <c r="B542" t="s">
        <v>195</v>
      </c>
      <c r="C542">
        <v>128</v>
      </c>
      <c r="D542">
        <v>201</v>
      </c>
      <c r="E542">
        <v>4.5</v>
      </c>
      <c r="F542" t="s">
        <v>59</v>
      </c>
      <c r="G542" t="s">
        <v>831</v>
      </c>
      <c r="H542" t="s">
        <v>46</v>
      </c>
      <c r="I542" t="s">
        <v>47</v>
      </c>
      <c r="J542" t="s">
        <v>61</v>
      </c>
      <c r="K542" t="s">
        <v>30</v>
      </c>
      <c r="L542">
        <v>200</v>
      </c>
      <c r="M542">
        <v>2005</v>
      </c>
      <c r="N542" t="s">
        <v>31</v>
      </c>
      <c r="O542" t="s">
        <v>62</v>
      </c>
      <c r="P542" t="s">
        <v>63</v>
      </c>
      <c r="Q542" t="s">
        <v>64</v>
      </c>
      <c r="R542" t="s">
        <v>39</v>
      </c>
    </row>
    <row r="543" spans="1:18">
      <c r="A543">
        <v>561</v>
      </c>
      <c r="B543" t="s">
        <v>18</v>
      </c>
      <c r="C543">
        <v>128</v>
      </c>
      <c r="D543">
        <v>201</v>
      </c>
      <c r="E543">
        <v>3.4</v>
      </c>
      <c r="F543" t="s">
        <v>1064</v>
      </c>
      <c r="G543" t="s">
        <v>45</v>
      </c>
      <c r="H543" t="s">
        <v>46</v>
      </c>
      <c r="I543" t="s">
        <v>47</v>
      </c>
      <c r="J543" t="s">
        <v>48</v>
      </c>
      <c r="K543" t="s">
        <v>23</v>
      </c>
      <c r="L543">
        <v>5000</v>
      </c>
      <c r="M543">
        <v>2017</v>
      </c>
      <c r="N543" t="s">
        <v>31</v>
      </c>
      <c r="O543" t="s">
        <v>96</v>
      </c>
      <c r="P543" t="s">
        <v>96</v>
      </c>
      <c r="Q543" t="s">
        <v>52</v>
      </c>
      <c r="R543" t="s">
        <v>39</v>
      </c>
    </row>
    <row r="544" spans="1:18">
      <c r="A544">
        <v>562</v>
      </c>
      <c r="B544" t="s">
        <v>18</v>
      </c>
      <c r="C544">
        <v>128</v>
      </c>
      <c r="D544">
        <v>201</v>
      </c>
      <c r="E544">
        <v>3.1</v>
      </c>
      <c r="F544" t="s">
        <v>1065</v>
      </c>
      <c r="G544" t="s">
        <v>152</v>
      </c>
      <c r="H544" t="s">
        <v>153</v>
      </c>
      <c r="I544" t="s">
        <v>154</v>
      </c>
      <c r="J544" t="s">
        <v>1066</v>
      </c>
      <c r="K544" t="s">
        <v>23</v>
      </c>
      <c r="L544">
        <v>5000</v>
      </c>
      <c r="M544">
        <v>1974</v>
      </c>
      <c r="N544" t="s">
        <v>31</v>
      </c>
      <c r="O544" t="s">
        <v>270</v>
      </c>
      <c r="P544" t="s">
        <v>33</v>
      </c>
      <c r="Q544" t="s">
        <v>183</v>
      </c>
      <c r="R544" t="s">
        <v>39</v>
      </c>
    </row>
    <row r="545" spans="1:18">
      <c r="A545">
        <v>563</v>
      </c>
      <c r="B545" t="s">
        <v>112</v>
      </c>
      <c r="C545">
        <v>128</v>
      </c>
      <c r="D545">
        <v>201</v>
      </c>
      <c r="E545">
        <v>4</v>
      </c>
      <c r="F545" t="s">
        <v>305</v>
      </c>
      <c r="G545" t="s">
        <v>129</v>
      </c>
      <c r="H545" t="s">
        <v>120</v>
      </c>
      <c r="I545" t="s">
        <v>121</v>
      </c>
      <c r="J545" t="s">
        <v>306</v>
      </c>
      <c r="K545" t="s">
        <v>49</v>
      </c>
      <c r="L545">
        <v>10000</v>
      </c>
      <c r="M545">
        <v>1982</v>
      </c>
      <c r="N545" t="s">
        <v>50</v>
      </c>
      <c r="O545" t="s">
        <v>37</v>
      </c>
      <c r="P545" t="s">
        <v>38</v>
      </c>
      <c r="Q545" t="s">
        <v>126</v>
      </c>
      <c r="R545" t="s">
        <v>39</v>
      </c>
    </row>
    <row r="546" spans="1:18">
      <c r="A546">
        <v>564</v>
      </c>
      <c r="B546" t="s">
        <v>112</v>
      </c>
      <c r="C546">
        <v>128</v>
      </c>
      <c r="D546">
        <v>201</v>
      </c>
      <c r="E546">
        <v>3.3</v>
      </c>
      <c r="F546" t="s">
        <v>295</v>
      </c>
      <c r="G546" t="s">
        <v>152</v>
      </c>
      <c r="H546" t="s">
        <v>153</v>
      </c>
      <c r="I546" t="s">
        <v>154</v>
      </c>
      <c r="J546" t="s">
        <v>155</v>
      </c>
      <c r="K546" t="s">
        <v>56</v>
      </c>
      <c r="L546">
        <v>1000</v>
      </c>
      <c r="M546">
        <v>2015</v>
      </c>
      <c r="N546" t="s">
        <v>31</v>
      </c>
      <c r="O546" t="s">
        <v>86</v>
      </c>
      <c r="P546" t="s">
        <v>86</v>
      </c>
      <c r="Q546" t="s">
        <v>27</v>
      </c>
      <c r="R546" t="s">
        <v>39</v>
      </c>
    </row>
    <row r="547" spans="1:18">
      <c r="A547">
        <v>565</v>
      </c>
      <c r="B547" t="s">
        <v>195</v>
      </c>
      <c r="C547">
        <v>128</v>
      </c>
      <c r="D547">
        <v>201</v>
      </c>
      <c r="E547">
        <v>4.0999999999999996</v>
      </c>
      <c r="F547" t="s">
        <v>1067</v>
      </c>
      <c r="G547" t="s">
        <v>884</v>
      </c>
      <c r="H547" t="s">
        <v>625</v>
      </c>
      <c r="I547" t="s">
        <v>626</v>
      </c>
      <c r="J547" t="s">
        <v>787</v>
      </c>
      <c r="K547" t="s">
        <v>23</v>
      </c>
      <c r="L547">
        <v>5000</v>
      </c>
      <c r="M547">
        <v>1976</v>
      </c>
      <c r="N547" t="s">
        <v>31</v>
      </c>
      <c r="O547" t="s">
        <v>310</v>
      </c>
      <c r="P547" t="s">
        <v>80</v>
      </c>
      <c r="Q547" t="s">
        <v>42</v>
      </c>
      <c r="R547" t="s">
        <v>39</v>
      </c>
    </row>
    <row r="548" spans="1:18">
      <c r="A548">
        <v>566</v>
      </c>
      <c r="B548" t="s">
        <v>112</v>
      </c>
      <c r="C548">
        <v>128</v>
      </c>
      <c r="D548">
        <v>201</v>
      </c>
      <c r="E548">
        <v>4.2</v>
      </c>
      <c r="F548" t="s">
        <v>161</v>
      </c>
      <c r="G548" t="s">
        <v>162</v>
      </c>
      <c r="H548" t="s">
        <v>163</v>
      </c>
      <c r="I548" t="s">
        <v>164</v>
      </c>
      <c r="J548" t="s">
        <v>165</v>
      </c>
      <c r="K548" t="s">
        <v>30</v>
      </c>
      <c r="L548">
        <v>200</v>
      </c>
      <c r="M548">
        <v>1996</v>
      </c>
      <c r="N548" t="s">
        <v>31</v>
      </c>
      <c r="O548" t="s">
        <v>101</v>
      </c>
      <c r="P548" t="s">
        <v>102</v>
      </c>
      <c r="Q548" t="s">
        <v>42</v>
      </c>
      <c r="R548" t="s">
        <v>39</v>
      </c>
    </row>
    <row r="549" spans="1:18">
      <c r="A549">
        <v>567</v>
      </c>
      <c r="B549" t="s">
        <v>103</v>
      </c>
      <c r="C549">
        <v>128</v>
      </c>
      <c r="D549">
        <v>201</v>
      </c>
      <c r="E549">
        <v>3.9</v>
      </c>
      <c r="F549" t="s">
        <v>1068</v>
      </c>
      <c r="G549" t="s">
        <v>20</v>
      </c>
      <c r="H549" t="s">
        <v>21</v>
      </c>
      <c r="I549" t="s">
        <v>20</v>
      </c>
      <c r="J549" t="s">
        <v>22</v>
      </c>
      <c r="K549" t="s">
        <v>67</v>
      </c>
      <c r="L549">
        <v>50</v>
      </c>
      <c r="M549">
        <v>-1</v>
      </c>
      <c r="N549" t="s">
        <v>31</v>
      </c>
      <c r="O549" t="s">
        <v>98</v>
      </c>
      <c r="P549" t="s">
        <v>38</v>
      </c>
      <c r="Q549" t="s">
        <v>27</v>
      </c>
      <c r="R549" t="s">
        <v>39</v>
      </c>
    </row>
    <row r="550" spans="1:18">
      <c r="A550">
        <v>568</v>
      </c>
      <c r="B550" t="s">
        <v>18</v>
      </c>
      <c r="C550">
        <v>128</v>
      </c>
      <c r="D550">
        <v>201</v>
      </c>
      <c r="E550">
        <v>-1</v>
      </c>
      <c r="F550" t="s">
        <v>1069</v>
      </c>
      <c r="G550" t="s">
        <v>878</v>
      </c>
      <c r="H550" t="s">
        <v>221</v>
      </c>
      <c r="I550" t="s">
        <v>222</v>
      </c>
      <c r="J550" t="s">
        <v>1070</v>
      </c>
      <c r="K550" t="s">
        <v>546</v>
      </c>
      <c r="M550">
        <v>-1</v>
      </c>
      <c r="N550" t="s">
        <v>50</v>
      </c>
      <c r="O550" t="s">
        <v>39</v>
      </c>
      <c r="P550">
        <v>-1</v>
      </c>
      <c r="Q550" t="s">
        <v>27</v>
      </c>
      <c r="R550" t="s">
        <v>39</v>
      </c>
    </row>
    <row r="551" spans="1:18">
      <c r="A551">
        <v>569</v>
      </c>
      <c r="B551" t="s">
        <v>18</v>
      </c>
      <c r="C551">
        <v>128</v>
      </c>
      <c r="D551">
        <v>201</v>
      </c>
      <c r="E551">
        <v>3.3</v>
      </c>
      <c r="F551" t="s">
        <v>452</v>
      </c>
      <c r="G551" t="s">
        <v>60</v>
      </c>
      <c r="H551" t="s">
        <v>46</v>
      </c>
      <c r="I551" t="s">
        <v>47</v>
      </c>
      <c r="J551" t="s">
        <v>90</v>
      </c>
      <c r="K551" t="s">
        <v>49</v>
      </c>
      <c r="L551">
        <v>10000</v>
      </c>
      <c r="M551">
        <v>1958</v>
      </c>
      <c r="N551" t="s">
        <v>24</v>
      </c>
      <c r="O551" t="s">
        <v>62</v>
      </c>
      <c r="P551" t="s">
        <v>63</v>
      </c>
      <c r="Q551" t="s">
        <v>52</v>
      </c>
      <c r="R551" t="s">
        <v>453</v>
      </c>
    </row>
    <row r="552" spans="1:18">
      <c r="A552">
        <v>570</v>
      </c>
      <c r="B552" t="s">
        <v>18</v>
      </c>
      <c r="C552">
        <v>138</v>
      </c>
      <c r="D552">
        <v>158</v>
      </c>
      <c r="E552">
        <v>3.9</v>
      </c>
      <c r="F552" t="s">
        <v>355</v>
      </c>
      <c r="G552" t="s">
        <v>192</v>
      </c>
      <c r="H552" t="s">
        <v>112</v>
      </c>
      <c r="I552" t="s">
        <v>193</v>
      </c>
      <c r="J552" t="s">
        <v>55</v>
      </c>
      <c r="K552" t="s">
        <v>85</v>
      </c>
      <c r="M552">
        <v>1911</v>
      </c>
      <c r="N552" t="s">
        <v>31</v>
      </c>
      <c r="O552" t="s">
        <v>356</v>
      </c>
      <c r="P552" t="s">
        <v>80</v>
      </c>
      <c r="Q552" t="s">
        <v>87</v>
      </c>
      <c r="R552" t="s">
        <v>39</v>
      </c>
    </row>
    <row r="553" spans="1:18">
      <c r="A553">
        <v>571</v>
      </c>
      <c r="B553" t="s">
        <v>18</v>
      </c>
      <c r="C553">
        <v>138</v>
      </c>
      <c r="D553">
        <v>158</v>
      </c>
      <c r="E553">
        <v>4.5</v>
      </c>
      <c r="F553" t="s">
        <v>352</v>
      </c>
      <c r="G553" t="s">
        <v>353</v>
      </c>
      <c r="H553" t="s">
        <v>120</v>
      </c>
      <c r="I553" t="s">
        <v>121</v>
      </c>
      <c r="J553" t="s">
        <v>354</v>
      </c>
      <c r="K553" t="s">
        <v>30</v>
      </c>
      <c r="L553">
        <v>200</v>
      </c>
      <c r="M553">
        <v>2003</v>
      </c>
      <c r="N553" t="s">
        <v>31</v>
      </c>
      <c r="O553" t="s">
        <v>37</v>
      </c>
      <c r="P553" t="s">
        <v>38</v>
      </c>
      <c r="Q553" t="s">
        <v>140</v>
      </c>
      <c r="R553" t="s">
        <v>39</v>
      </c>
    </row>
    <row r="554" spans="1:18">
      <c r="A554">
        <v>572</v>
      </c>
      <c r="B554" t="s">
        <v>103</v>
      </c>
      <c r="C554">
        <v>138</v>
      </c>
      <c r="D554">
        <v>158</v>
      </c>
      <c r="E554">
        <v>4.2</v>
      </c>
      <c r="F554" t="s">
        <v>1071</v>
      </c>
      <c r="G554" t="s">
        <v>1072</v>
      </c>
      <c r="H554" t="s">
        <v>120</v>
      </c>
      <c r="I554" t="s">
        <v>121</v>
      </c>
      <c r="J554" t="s">
        <v>1073</v>
      </c>
      <c r="K554" t="s">
        <v>56</v>
      </c>
      <c r="L554">
        <v>1000</v>
      </c>
      <c r="M554">
        <v>1971</v>
      </c>
      <c r="N554" t="s">
        <v>50</v>
      </c>
      <c r="O554" t="s">
        <v>96</v>
      </c>
      <c r="P554" t="s">
        <v>96</v>
      </c>
      <c r="Q554" t="s">
        <v>42</v>
      </c>
      <c r="R554" t="s">
        <v>1074</v>
      </c>
    </row>
    <row r="555" spans="1:18">
      <c r="A555">
        <v>573</v>
      </c>
      <c r="B555" t="s">
        <v>18</v>
      </c>
      <c r="C555">
        <v>138</v>
      </c>
      <c r="D555">
        <v>158</v>
      </c>
      <c r="E555">
        <v>3.5</v>
      </c>
      <c r="F555" t="s">
        <v>403</v>
      </c>
      <c r="G555" t="s">
        <v>54</v>
      </c>
      <c r="H555" t="s">
        <v>46</v>
      </c>
      <c r="I555" t="s">
        <v>47</v>
      </c>
      <c r="J555" t="s">
        <v>404</v>
      </c>
      <c r="K555" t="s">
        <v>49</v>
      </c>
      <c r="L555">
        <v>10000</v>
      </c>
      <c r="M555">
        <v>-1</v>
      </c>
      <c r="N555" t="s">
        <v>50</v>
      </c>
      <c r="O555" t="s">
        <v>96</v>
      </c>
      <c r="P555" t="s">
        <v>96</v>
      </c>
      <c r="Q555" t="s">
        <v>126</v>
      </c>
      <c r="R555" t="s">
        <v>39</v>
      </c>
    </row>
    <row r="556" spans="1:18">
      <c r="A556">
        <v>574</v>
      </c>
      <c r="B556" t="s">
        <v>112</v>
      </c>
      <c r="C556">
        <v>138</v>
      </c>
      <c r="D556">
        <v>158</v>
      </c>
      <c r="E556">
        <v>4</v>
      </c>
      <c r="F556" t="s">
        <v>869</v>
      </c>
      <c r="G556" t="s">
        <v>870</v>
      </c>
      <c r="H556" t="s">
        <v>503</v>
      </c>
      <c r="I556" t="s">
        <v>504</v>
      </c>
      <c r="J556" t="s">
        <v>871</v>
      </c>
      <c r="K556" t="s">
        <v>23</v>
      </c>
      <c r="L556">
        <v>5000</v>
      </c>
      <c r="M556">
        <v>1974</v>
      </c>
      <c r="N556" t="s">
        <v>31</v>
      </c>
      <c r="O556" t="s">
        <v>96</v>
      </c>
      <c r="P556" t="s">
        <v>96</v>
      </c>
      <c r="Q556" t="s">
        <v>42</v>
      </c>
      <c r="R556" t="s">
        <v>39</v>
      </c>
    </row>
    <row r="557" spans="1:18">
      <c r="A557">
        <v>575</v>
      </c>
      <c r="B557" t="s">
        <v>112</v>
      </c>
      <c r="C557">
        <v>138</v>
      </c>
      <c r="D557">
        <v>158</v>
      </c>
      <c r="E557">
        <v>4.5</v>
      </c>
      <c r="F557" t="s">
        <v>278</v>
      </c>
      <c r="G557" t="s">
        <v>279</v>
      </c>
      <c r="H557" t="s">
        <v>71</v>
      </c>
      <c r="I557" t="s">
        <v>72</v>
      </c>
      <c r="J557" t="s">
        <v>280</v>
      </c>
      <c r="K557" t="s">
        <v>106</v>
      </c>
      <c r="L557">
        <v>500</v>
      </c>
      <c r="M557">
        <v>2010</v>
      </c>
      <c r="N557" t="s">
        <v>31</v>
      </c>
      <c r="O557" t="s">
        <v>96</v>
      </c>
      <c r="P557" t="s">
        <v>96</v>
      </c>
      <c r="Q557" t="s">
        <v>42</v>
      </c>
      <c r="R557" t="s">
        <v>39</v>
      </c>
    </row>
    <row r="558" spans="1:18">
      <c r="A558">
        <v>576</v>
      </c>
      <c r="B558" t="s">
        <v>99</v>
      </c>
      <c r="C558">
        <v>138</v>
      </c>
      <c r="D558">
        <v>158</v>
      </c>
      <c r="E558">
        <v>4.5</v>
      </c>
      <c r="F558" t="s">
        <v>53</v>
      </c>
      <c r="G558" t="s">
        <v>54</v>
      </c>
      <c r="H558" t="s">
        <v>46</v>
      </c>
      <c r="I558" t="s">
        <v>47</v>
      </c>
      <c r="J558" t="s">
        <v>55</v>
      </c>
      <c r="K558" t="s">
        <v>56</v>
      </c>
      <c r="L558">
        <v>1000</v>
      </c>
      <c r="M558">
        <v>2012</v>
      </c>
      <c r="N558" t="s">
        <v>31</v>
      </c>
      <c r="O558" t="s">
        <v>57</v>
      </c>
      <c r="P558" t="s">
        <v>38</v>
      </c>
      <c r="Q558" t="s">
        <v>42</v>
      </c>
      <c r="R558" t="s">
        <v>58</v>
      </c>
    </row>
    <row r="559" spans="1:18">
      <c r="A559">
        <v>577</v>
      </c>
      <c r="B559" t="s">
        <v>112</v>
      </c>
      <c r="C559">
        <v>138</v>
      </c>
      <c r="D559">
        <v>158</v>
      </c>
      <c r="E559">
        <v>3.8</v>
      </c>
      <c r="F559" t="s">
        <v>1075</v>
      </c>
      <c r="G559" t="s">
        <v>345</v>
      </c>
      <c r="H559" t="s">
        <v>214</v>
      </c>
      <c r="I559" t="s">
        <v>215</v>
      </c>
      <c r="J559" t="s">
        <v>346</v>
      </c>
      <c r="K559" t="s">
        <v>56</v>
      </c>
      <c r="L559">
        <v>1000</v>
      </c>
      <c r="M559">
        <v>-1</v>
      </c>
      <c r="N559" t="s">
        <v>809</v>
      </c>
      <c r="O559" t="s">
        <v>810</v>
      </c>
      <c r="P559" t="s">
        <v>811</v>
      </c>
      <c r="Q559" t="s">
        <v>27</v>
      </c>
      <c r="R559" t="s">
        <v>39</v>
      </c>
    </row>
    <row r="560" spans="1:18">
      <c r="A560">
        <v>578</v>
      </c>
      <c r="B560" t="s">
        <v>195</v>
      </c>
      <c r="C560">
        <v>138</v>
      </c>
      <c r="D560">
        <v>158</v>
      </c>
      <c r="E560">
        <v>3.9</v>
      </c>
      <c r="F560" t="s">
        <v>872</v>
      </c>
      <c r="G560" t="s">
        <v>873</v>
      </c>
      <c r="H560" t="s">
        <v>46</v>
      </c>
      <c r="I560" t="s">
        <v>47</v>
      </c>
      <c r="J560" t="s">
        <v>251</v>
      </c>
      <c r="K560" t="s">
        <v>85</v>
      </c>
      <c r="M560">
        <v>1933</v>
      </c>
      <c r="N560" t="s">
        <v>374</v>
      </c>
      <c r="O560" t="s">
        <v>365</v>
      </c>
      <c r="P560" t="s">
        <v>102</v>
      </c>
      <c r="Q560" t="s">
        <v>27</v>
      </c>
      <c r="R560" t="s">
        <v>39</v>
      </c>
    </row>
    <row r="561" spans="1:18">
      <c r="A561">
        <v>579</v>
      </c>
      <c r="B561" t="s">
        <v>112</v>
      </c>
      <c r="C561">
        <v>138</v>
      </c>
      <c r="D561">
        <v>158</v>
      </c>
      <c r="E561">
        <v>2</v>
      </c>
      <c r="F561" t="s">
        <v>1076</v>
      </c>
      <c r="G561" t="s">
        <v>1077</v>
      </c>
      <c r="H561" t="s">
        <v>71</v>
      </c>
      <c r="I561" t="s">
        <v>72</v>
      </c>
      <c r="J561" t="s">
        <v>90</v>
      </c>
      <c r="K561" t="s">
        <v>30</v>
      </c>
      <c r="L561">
        <v>200</v>
      </c>
      <c r="M561">
        <v>-1</v>
      </c>
      <c r="N561" t="s">
        <v>31</v>
      </c>
      <c r="O561" t="s">
        <v>86</v>
      </c>
      <c r="P561" t="s">
        <v>86</v>
      </c>
      <c r="Q561" t="s">
        <v>27</v>
      </c>
      <c r="R561" t="s">
        <v>39</v>
      </c>
    </row>
    <row r="562" spans="1:18">
      <c r="A562">
        <v>580</v>
      </c>
      <c r="B562" t="s">
        <v>112</v>
      </c>
      <c r="C562">
        <v>138</v>
      </c>
      <c r="D562">
        <v>158</v>
      </c>
      <c r="E562">
        <v>4.8</v>
      </c>
      <c r="F562" t="s">
        <v>1078</v>
      </c>
      <c r="G562" t="s">
        <v>135</v>
      </c>
      <c r="H562" t="s">
        <v>120</v>
      </c>
      <c r="I562" t="s">
        <v>121</v>
      </c>
      <c r="J562" t="s">
        <v>136</v>
      </c>
      <c r="K562" t="s">
        <v>30</v>
      </c>
      <c r="L562">
        <v>200</v>
      </c>
      <c r="M562">
        <v>2013</v>
      </c>
      <c r="N562" t="s">
        <v>50</v>
      </c>
      <c r="O562" t="s">
        <v>86</v>
      </c>
      <c r="P562" t="s">
        <v>86</v>
      </c>
      <c r="Q562" t="s">
        <v>27</v>
      </c>
      <c r="R562" t="s">
        <v>39</v>
      </c>
    </row>
    <row r="563" spans="1:18">
      <c r="A563">
        <v>581</v>
      </c>
      <c r="B563" t="s">
        <v>99</v>
      </c>
      <c r="C563">
        <v>138</v>
      </c>
      <c r="D563">
        <v>158</v>
      </c>
      <c r="E563">
        <v>3.9</v>
      </c>
      <c r="F563" t="s">
        <v>872</v>
      </c>
      <c r="G563" t="s">
        <v>873</v>
      </c>
      <c r="H563" t="s">
        <v>46</v>
      </c>
      <c r="I563" t="s">
        <v>47</v>
      </c>
      <c r="J563" t="s">
        <v>251</v>
      </c>
      <c r="K563" t="s">
        <v>85</v>
      </c>
      <c r="M563">
        <v>1933</v>
      </c>
      <c r="N563" t="s">
        <v>374</v>
      </c>
      <c r="O563" t="s">
        <v>365</v>
      </c>
      <c r="P563" t="s">
        <v>102</v>
      </c>
      <c r="Q563" t="s">
        <v>27</v>
      </c>
      <c r="R563" t="s">
        <v>39</v>
      </c>
    </row>
    <row r="564" spans="1:18">
      <c r="A564">
        <v>582</v>
      </c>
      <c r="B564" t="s">
        <v>112</v>
      </c>
      <c r="C564">
        <v>138</v>
      </c>
      <c r="D564">
        <v>158</v>
      </c>
      <c r="E564">
        <v>3.3</v>
      </c>
      <c r="F564" t="s">
        <v>880</v>
      </c>
      <c r="G564" t="s">
        <v>881</v>
      </c>
      <c r="H564" t="s">
        <v>625</v>
      </c>
      <c r="I564" t="s">
        <v>626</v>
      </c>
      <c r="J564" t="s">
        <v>882</v>
      </c>
      <c r="K564" t="s">
        <v>49</v>
      </c>
      <c r="L564">
        <v>10000</v>
      </c>
      <c r="M564">
        <v>1875</v>
      </c>
      <c r="N564" t="s">
        <v>31</v>
      </c>
      <c r="O564" t="s">
        <v>285</v>
      </c>
      <c r="P564" t="s">
        <v>80</v>
      </c>
      <c r="Q564" t="s">
        <v>87</v>
      </c>
      <c r="R564" t="s">
        <v>39</v>
      </c>
    </row>
    <row r="565" spans="1:18">
      <c r="A565">
        <v>583</v>
      </c>
      <c r="B565" t="s">
        <v>18</v>
      </c>
      <c r="C565">
        <v>138</v>
      </c>
      <c r="D565">
        <v>158</v>
      </c>
      <c r="E565">
        <v>3.3</v>
      </c>
      <c r="F565" t="s">
        <v>452</v>
      </c>
      <c r="G565" t="s">
        <v>89</v>
      </c>
      <c r="H565" t="s">
        <v>71</v>
      </c>
      <c r="I565" t="s">
        <v>72</v>
      </c>
      <c r="J565" t="s">
        <v>90</v>
      </c>
      <c r="K565" t="s">
        <v>49</v>
      </c>
      <c r="L565">
        <v>10000</v>
      </c>
      <c r="M565">
        <v>1958</v>
      </c>
      <c r="N565" t="s">
        <v>24</v>
      </c>
      <c r="O565" t="s">
        <v>62</v>
      </c>
      <c r="P565" t="s">
        <v>63</v>
      </c>
      <c r="Q565" t="s">
        <v>52</v>
      </c>
      <c r="R565" t="s">
        <v>453</v>
      </c>
    </row>
    <row r="566" spans="1:18">
      <c r="A566">
        <v>584</v>
      </c>
      <c r="B566" t="s">
        <v>103</v>
      </c>
      <c r="C566">
        <v>138</v>
      </c>
      <c r="D566">
        <v>158</v>
      </c>
      <c r="E566">
        <v>5</v>
      </c>
      <c r="F566" t="s">
        <v>883</v>
      </c>
      <c r="G566" t="s">
        <v>884</v>
      </c>
      <c r="H566" t="s">
        <v>625</v>
      </c>
      <c r="I566" t="s">
        <v>626</v>
      </c>
      <c r="J566" t="s">
        <v>392</v>
      </c>
      <c r="K566" t="s">
        <v>30</v>
      </c>
      <c r="L566">
        <v>200</v>
      </c>
      <c r="M566">
        <v>2016</v>
      </c>
      <c r="N566" t="s">
        <v>31</v>
      </c>
      <c r="O566" t="s">
        <v>57</v>
      </c>
      <c r="P566" t="s">
        <v>38</v>
      </c>
      <c r="Q566" t="s">
        <v>27</v>
      </c>
      <c r="R566" t="s">
        <v>39</v>
      </c>
    </row>
    <row r="567" spans="1:18">
      <c r="A567">
        <v>585</v>
      </c>
      <c r="B567" t="s">
        <v>112</v>
      </c>
      <c r="C567">
        <v>138</v>
      </c>
      <c r="D567">
        <v>158</v>
      </c>
      <c r="E567">
        <v>4.4000000000000004</v>
      </c>
      <c r="F567" t="s">
        <v>1079</v>
      </c>
      <c r="G567" t="s">
        <v>1077</v>
      </c>
      <c r="H567" t="s">
        <v>71</v>
      </c>
      <c r="I567" t="s">
        <v>72</v>
      </c>
      <c r="J567" t="s">
        <v>90</v>
      </c>
      <c r="K567" t="s">
        <v>30</v>
      </c>
      <c r="L567">
        <v>200</v>
      </c>
      <c r="M567">
        <v>-1</v>
      </c>
      <c r="N567" t="s">
        <v>50</v>
      </c>
      <c r="O567" t="s">
        <v>39</v>
      </c>
      <c r="P567">
        <v>-1</v>
      </c>
      <c r="Q567" t="s">
        <v>27</v>
      </c>
      <c r="R567" t="s">
        <v>39</v>
      </c>
    </row>
    <row r="568" spans="1:18">
      <c r="A568">
        <v>586</v>
      </c>
      <c r="B568" t="s">
        <v>195</v>
      </c>
      <c r="C568">
        <v>138</v>
      </c>
      <c r="D568">
        <v>158</v>
      </c>
      <c r="E568">
        <v>3.4</v>
      </c>
      <c r="F568" t="s">
        <v>160</v>
      </c>
      <c r="G568" t="s">
        <v>152</v>
      </c>
      <c r="H568" t="s">
        <v>153</v>
      </c>
      <c r="I568" t="s">
        <v>154</v>
      </c>
      <c r="J568" t="s">
        <v>155</v>
      </c>
      <c r="K568" t="s">
        <v>30</v>
      </c>
      <c r="L568">
        <v>200</v>
      </c>
      <c r="M568">
        <v>1992</v>
      </c>
      <c r="N568" t="s">
        <v>31</v>
      </c>
      <c r="O568" t="s">
        <v>32</v>
      </c>
      <c r="P568" t="s">
        <v>33</v>
      </c>
      <c r="Q568" t="s">
        <v>140</v>
      </c>
      <c r="R568" t="s">
        <v>39</v>
      </c>
    </row>
    <row r="569" spans="1:18">
      <c r="A569">
        <v>587</v>
      </c>
      <c r="B569" t="s">
        <v>112</v>
      </c>
      <c r="C569">
        <v>138</v>
      </c>
      <c r="D569">
        <v>158</v>
      </c>
      <c r="E569">
        <v>3.3</v>
      </c>
      <c r="F569" t="s">
        <v>1080</v>
      </c>
      <c r="G569" t="s">
        <v>1081</v>
      </c>
      <c r="H569" t="s">
        <v>120</v>
      </c>
      <c r="I569" t="s">
        <v>121</v>
      </c>
      <c r="J569" t="s">
        <v>1082</v>
      </c>
      <c r="K569" t="s">
        <v>23</v>
      </c>
      <c r="L569">
        <v>5000</v>
      </c>
      <c r="M569">
        <v>1996</v>
      </c>
      <c r="N569" t="s">
        <v>50</v>
      </c>
      <c r="O569" t="s">
        <v>204</v>
      </c>
      <c r="P569" t="s">
        <v>205</v>
      </c>
      <c r="Q569" t="s">
        <v>52</v>
      </c>
      <c r="R569" t="s">
        <v>39</v>
      </c>
    </row>
    <row r="570" spans="1:18">
      <c r="A570">
        <v>588</v>
      </c>
      <c r="B570" t="s">
        <v>195</v>
      </c>
      <c r="C570">
        <v>138</v>
      </c>
      <c r="D570">
        <v>158</v>
      </c>
      <c r="E570">
        <v>2.9</v>
      </c>
      <c r="F570" t="s">
        <v>29</v>
      </c>
      <c r="G570" t="s">
        <v>20</v>
      </c>
      <c r="H570" t="s">
        <v>21</v>
      </c>
      <c r="I570" t="s">
        <v>20</v>
      </c>
      <c r="J570" t="s">
        <v>22</v>
      </c>
      <c r="K570" t="s">
        <v>30</v>
      </c>
      <c r="L570">
        <v>200</v>
      </c>
      <c r="M570">
        <v>1998</v>
      </c>
      <c r="N570" t="s">
        <v>31</v>
      </c>
      <c r="O570" t="s">
        <v>32</v>
      </c>
      <c r="P570" t="s">
        <v>33</v>
      </c>
      <c r="Q570" t="s">
        <v>27</v>
      </c>
      <c r="R570" t="s">
        <v>34</v>
      </c>
    </row>
    <row r="571" spans="1:18">
      <c r="A571">
        <v>589</v>
      </c>
      <c r="B571" t="s">
        <v>112</v>
      </c>
      <c r="C571">
        <v>138</v>
      </c>
      <c r="D571">
        <v>158</v>
      </c>
      <c r="E571">
        <v>3.8</v>
      </c>
      <c r="F571" t="s">
        <v>1083</v>
      </c>
      <c r="G571" t="s">
        <v>697</v>
      </c>
      <c r="H571" t="s">
        <v>120</v>
      </c>
      <c r="I571" t="s">
        <v>121</v>
      </c>
      <c r="J571" t="s">
        <v>1084</v>
      </c>
      <c r="K571" t="s">
        <v>85</v>
      </c>
      <c r="M571">
        <v>1949</v>
      </c>
      <c r="N571" t="s">
        <v>63</v>
      </c>
      <c r="O571" t="s">
        <v>62</v>
      </c>
      <c r="P571" t="s">
        <v>63</v>
      </c>
      <c r="Q571" t="s">
        <v>126</v>
      </c>
      <c r="R571" t="s">
        <v>1085</v>
      </c>
    </row>
    <row r="572" spans="1:18">
      <c r="A572">
        <v>590</v>
      </c>
      <c r="B572" t="s">
        <v>195</v>
      </c>
      <c r="C572">
        <v>138</v>
      </c>
      <c r="D572">
        <v>158</v>
      </c>
      <c r="E572">
        <v>3.5</v>
      </c>
      <c r="F572" t="s">
        <v>403</v>
      </c>
      <c r="G572" t="s">
        <v>60</v>
      </c>
      <c r="H572" t="s">
        <v>46</v>
      </c>
      <c r="I572" t="s">
        <v>47</v>
      </c>
      <c r="J572" t="s">
        <v>404</v>
      </c>
      <c r="K572" t="s">
        <v>49</v>
      </c>
      <c r="L572">
        <v>10000</v>
      </c>
      <c r="M572">
        <v>-1</v>
      </c>
      <c r="N572" t="s">
        <v>50</v>
      </c>
      <c r="O572" t="s">
        <v>96</v>
      </c>
      <c r="P572" t="s">
        <v>96</v>
      </c>
      <c r="Q572" t="s">
        <v>126</v>
      </c>
      <c r="R572" t="s">
        <v>39</v>
      </c>
    </row>
    <row r="573" spans="1:18">
      <c r="A573">
        <v>591</v>
      </c>
      <c r="B573" t="s">
        <v>18</v>
      </c>
      <c r="C573">
        <v>80</v>
      </c>
      <c r="D573">
        <v>132</v>
      </c>
      <c r="E573">
        <v>4</v>
      </c>
      <c r="F573" t="s">
        <v>329</v>
      </c>
      <c r="G573" t="s">
        <v>330</v>
      </c>
      <c r="H573" t="s">
        <v>331</v>
      </c>
      <c r="I573" t="s">
        <v>332</v>
      </c>
      <c r="J573" t="s">
        <v>333</v>
      </c>
      <c r="K573" t="s">
        <v>85</v>
      </c>
      <c r="M573">
        <v>1913</v>
      </c>
      <c r="N573" t="s">
        <v>50</v>
      </c>
      <c r="O573" t="s">
        <v>86</v>
      </c>
      <c r="P573" t="s">
        <v>86</v>
      </c>
      <c r="Q573" t="s">
        <v>87</v>
      </c>
      <c r="R573" t="s">
        <v>334</v>
      </c>
    </row>
    <row r="574" spans="1:18">
      <c r="A574">
        <v>592</v>
      </c>
      <c r="B574" t="s">
        <v>18</v>
      </c>
      <c r="C574">
        <v>80</v>
      </c>
      <c r="D574">
        <v>132</v>
      </c>
      <c r="E574">
        <v>4</v>
      </c>
      <c r="F574" t="s">
        <v>305</v>
      </c>
      <c r="G574" t="s">
        <v>129</v>
      </c>
      <c r="H574" t="s">
        <v>120</v>
      </c>
      <c r="I574" t="s">
        <v>121</v>
      </c>
      <c r="J574" t="s">
        <v>306</v>
      </c>
      <c r="K574" t="s">
        <v>49</v>
      </c>
      <c r="L574">
        <v>10000</v>
      </c>
      <c r="M574">
        <v>1982</v>
      </c>
      <c r="N574" t="s">
        <v>50</v>
      </c>
      <c r="O574" t="s">
        <v>37</v>
      </c>
      <c r="P574" t="s">
        <v>38</v>
      </c>
      <c r="Q574" t="s">
        <v>126</v>
      </c>
      <c r="R574" t="s">
        <v>39</v>
      </c>
    </row>
    <row r="575" spans="1:18">
      <c r="A575">
        <v>593</v>
      </c>
      <c r="B575" t="s">
        <v>18</v>
      </c>
      <c r="C575">
        <v>80</v>
      </c>
      <c r="D575">
        <v>132</v>
      </c>
      <c r="E575">
        <v>3.4</v>
      </c>
      <c r="F575" t="s">
        <v>981</v>
      </c>
      <c r="G575" t="s">
        <v>982</v>
      </c>
      <c r="H575" t="s">
        <v>466</v>
      </c>
      <c r="I575" t="s">
        <v>467</v>
      </c>
      <c r="J575" t="s">
        <v>983</v>
      </c>
      <c r="K575" t="s">
        <v>23</v>
      </c>
      <c r="L575">
        <v>5000</v>
      </c>
      <c r="M575">
        <v>1998</v>
      </c>
      <c r="N575" t="s">
        <v>31</v>
      </c>
      <c r="O575" t="s">
        <v>984</v>
      </c>
      <c r="P575" t="s">
        <v>985</v>
      </c>
      <c r="Q575" t="s">
        <v>42</v>
      </c>
      <c r="R575" t="s">
        <v>39</v>
      </c>
    </row>
    <row r="576" spans="1:18">
      <c r="A576">
        <v>594</v>
      </c>
      <c r="B576" t="s">
        <v>18</v>
      </c>
      <c r="C576">
        <v>80</v>
      </c>
      <c r="D576">
        <v>132</v>
      </c>
      <c r="E576">
        <v>3.9</v>
      </c>
      <c r="F576" t="s">
        <v>777</v>
      </c>
      <c r="G576" t="s">
        <v>1086</v>
      </c>
      <c r="H576" t="s">
        <v>221</v>
      </c>
      <c r="I576" t="s">
        <v>222</v>
      </c>
      <c r="J576" t="s">
        <v>778</v>
      </c>
      <c r="K576" t="s">
        <v>85</v>
      </c>
      <c r="M576">
        <v>1830</v>
      </c>
      <c r="N576" t="s">
        <v>50</v>
      </c>
      <c r="O576" t="s">
        <v>86</v>
      </c>
      <c r="P576" t="s">
        <v>86</v>
      </c>
      <c r="Q576" t="s">
        <v>87</v>
      </c>
      <c r="R576" t="s">
        <v>779</v>
      </c>
    </row>
    <row r="577" spans="1:18">
      <c r="A577">
        <v>595</v>
      </c>
      <c r="B577" t="s">
        <v>18</v>
      </c>
      <c r="C577">
        <v>80</v>
      </c>
      <c r="D577">
        <v>132</v>
      </c>
      <c r="E577">
        <v>3.8</v>
      </c>
      <c r="F577" t="s">
        <v>1087</v>
      </c>
      <c r="G577" t="s">
        <v>145</v>
      </c>
      <c r="H577" t="s">
        <v>146</v>
      </c>
      <c r="I577" t="s">
        <v>147</v>
      </c>
      <c r="J577" t="s">
        <v>1088</v>
      </c>
      <c r="K577" t="s">
        <v>546</v>
      </c>
      <c r="M577">
        <v>1947</v>
      </c>
      <c r="N577" t="s">
        <v>63</v>
      </c>
      <c r="O577" t="s">
        <v>62</v>
      </c>
      <c r="P577" t="s">
        <v>63</v>
      </c>
      <c r="Q577" t="s">
        <v>27</v>
      </c>
      <c r="R577" t="s">
        <v>39</v>
      </c>
    </row>
    <row r="578" spans="1:18">
      <c r="A578">
        <v>596</v>
      </c>
      <c r="B578" t="s">
        <v>18</v>
      </c>
      <c r="C578">
        <v>80</v>
      </c>
      <c r="D578">
        <v>132</v>
      </c>
      <c r="E578">
        <v>4.5</v>
      </c>
      <c r="F578" t="s">
        <v>1089</v>
      </c>
      <c r="G578" t="s">
        <v>152</v>
      </c>
      <c r="H578" t="s">
        <v>153</v>
      </c>
      <c r="I578" t="s">
        <v>154</v>
      </c>
      <c r="J578" t="s">
        <v>155</v>
      </c>
      <c r="K578" t="s">
        <v>106</v>
      </c>
      <c r="L578">
        <v>500</v>
      </c>
      <c r="M578">
        <v>2008</v>
      </c>
      <c r="N578" t="s">
        <v>31</v>
      </c>
      <c r="O578" t="s">
        <v>75</v>
      </c>
      <c r="P578" t="s">
        <v>33</v>
      </c>
      <c r="Q578" t="s">
        <v>198</v>
      </c>
      <c r="R578" t="s">
        <v>39</v>
      </c>
    </row>
    <row r="579" spans="1:18">
      <c r="A579">
        <v>597</v>
      </c>
      <c r="B579" t="s">
        <v>18</v>
      </c>
      <c r="C579">
        <v>80</v>
      </c>
      <c r="D579">
        <v>132</v>
      </c>
      <c r="E579">
        <v>4.3</v>
      </c>
      <c r="F579" t="s">
        <v>1090</v>
      </c>
      <c r="G579" t="s">
        <v>1091</v>
      </c>
      <c r="H579" t="s">
        <v>578</v>
      </c>
      <c r="I579" t="s">
        <v>579</v>
      </c>
      <c r="J579" t="s">
        <v>338</v>
      </c>
      <c r="K579" t="s">
        <v>30</v>
      </c>
      <c r="L579">
        <v>200</v>
      </c>
      <c r="M579">
        <v>2009</v>
      </c>
      <c r="N579" t="s">
        <v>31</v>
      </c>
      <c r="O579" t="s">
        <v>32</v>
      </c>
      <c r="P579" t="s">
        <v>33</v>
      </c>
      <c r="Q579" t="s">
        <v>140</v>
      </c>
      <c r="R579" t="s">
        <v>39</v>
      </c>
    </row>
    <row r="580" spans="1:18">
      <c r="A580">
        <v>598</v>
      </c>
      <c r="B580" t="s">
        <v>18</v>
      </c>
      <c r="C580">
        <v>80</v>
      </c>
      <c r="D580">
        <v>132</v>
      </c>
      <c r="E580">
        <v>3.6</v>
      </c>
      <c r="F580" t="s">
        <v>1092</v>
      </c>
      <c r="G580" t="s">
        <v>1093</v>
      </c>
      <c r="H580" t="s">
        <v>259</v>
      </c>
      <c r="I580" t="s">
        <v>260</v>
      </c>
      <c r="J580" t="s">
        <v>22</v>
      </c>
      <c r="K580" t="s">
        <v>67</v>
      </c>
      <c r="L580">
        <v>50</v>
      </c>
      <c r="M580">
        <v>-1</v>
      </c>
      <c r="N580" t="s">
        <v>31</v>
      </c>
      <c r="O580" t="s">
        <v>39</v>
      </c>
      <c r="P580">
        <v>-1</v>
      </c>
      <c r="Q580" t="s">
        <v>27</v>
      </c>
      <c r="R580" t="s">
        <v>39</v>
      </c>
    </row>
    <row r="581" spans="1:18">
      <c r="A581">
        <v>599</v>
      </c>
      <c r="B581" t="s">
        <v>18</v>
      </c>
      <c r="C581">
        <v>80</v>
      </c>
      <c r="D581">
        <v>132</v>
      </c>
      <c r="E581">
        <v>2.9</v>
      </c>
      <c r="F581" t="s">
        <v>1094</v>
      </c>
      <c r="G581" t="s">
        <v>397</v>
      </c>
      <c r="H581" t="s">
        <v>209</v>
      </c>
      <c r="I581" t="s">
        <v>210</v>
      </c>
      <c r="J581" t="s">
        <v>943</v>
      </c>
      <c r="K581" t="s">
        <v>85</v>
      </c>
      <c r="M581">
        <v>2005</v>
      </c>
      <c r="N581" t="s">
        <v>31</v>
      </c>
      <c r="O581" t="s">
        <v>204</v>
      </c>
      <c r="P581" t="s">
        <v>205</v>
      </c>
      <c r="Q581" t="s">
        <v>27</v>
      </c>
      <c r="R581" t="s">
        <v>39</v>
      </c>
    </row>
    <row r="582" spans="1:18">
      <c r="A582">
        <v>600</v>
      </c>
      <c r="B582" t="s">
        <v>18</v>
      </c>
      <c r="C582">
        <v>80</v>
      </c>
      <c r="D582">
        <v>132</v>
      </c>
      <c r="E582">
        <v>2.9</v>
      </c>
      <c r="F582" t="s">
        <v>989</v>
      </c>
      <c r="G582" t="s">
        <v>192</v>
      </c>
      <c r="H582" t="s">
        <v>112</v>
      </c>
      <c r="I582" t="s">
        <v>193</v>
      </c>
      <c r="J582" t="s">
        <v>368</v>
      </c>
      <c r="K582" t="s">
        <v>106</v>
      </c>
      <c r="L582">
        <v>500</v>
      </c>
      <c r="M582">
        <v>1985</v>
      </c>
      <c r="N582" t="s">
        <v>31</v>
      </c>
      <c r="O582" t="s">
        <v>98</v>
      </c>
      <c r="P582" t="s">
        <v>38</v>
      </c>
      <c r="Q582" t="s">
        <v>42</v>
      </c>
      <c r="R582" t="s">
        <v>39</v>
      </c>
    </row>
    <row r="583" spans="1:18">
      <c r="A583">
        <v>601</v>
      </c>
      <c r="B583" t="s">
        <v>18</v>
      </c>
      <c r="C583">
        <v>80</v>
      </c>
      <c r="D583">
        <v>132</v>
      </c>
      <c r="E583">
        <v>3.2</v>
      </c>
      <c r="F583" t="s">
        <v>1095</v>
      </c>
      <c r="G583" t="s">
        <v>192</v>
      </c>
      <c r="H583" t="s">
        <v>120</v>
      </c>
      <c r="I583" t="s">
        <v>121</v>
      </c>
      <c r="J583" t="s">
        <v>891</v>
      </c>
      <c r="K583" t="s">
        <v>30</v>
      </c>
      <c r="L583">
        <v>200</v>
      </c>
      <c r="M583">
        <v>2004</v>
      </c>
      <c r="N583" t="s">
        <v>31</v>
      </c>
      <c r="O583" t="s">
        <v>41</v>
      </c>
      <c r="P583" t="s">
        <v>38</v>
      </c>
      <c r="Q583" t="s">
        <v>64</v>
      </c>
      <c r="R583" t="s">
        <v>39</v>
      </c>
    </row>
    <row r="584" spans="1:18">
      <c r="A584">
        <v>602</v>
      </c>
      <c r="B584" t="s">
        <v>112</v>
      </c>
      <c r="C584">
        <v>80</v>
      </c>
      <c r="D584">
        <v>132</v>
      </c>
      <c r="E584">
        <v>4.5</v>
      </c>
      <c r="F584" t="s">
        <v>823</v>
      </c>
      <c r="G584" t="s">
        <v>824</v>
      </c>
      <c r="H584" t="s">
        <v>331</v>
      </c>
      <c r="I584" t="s">
        <v>332</v>
      </c>
      <c r="J584" t="s">
        <v>825</v>
      </c>
      <c r="K584" t="s">
        <v>49</v>
      </c>
      <c r="L584">
        <v>10000</v>
      </c>
      <c r="M584">
        <v>1942</v>
      </c>
      <c r="N584" t="s">
        <v>24</v>
      </c>
      <c r="O584" t="s">
        <v>96</v>
      </c>
      <c r="P584" t="s">
        <v>96</v>
      </c>
      <c r="Q584" t="s">
        <v>52</v>
      </c>
      <c r="R584" t="s">
        <v>826</v>
      </c>
    </row>
    <row r="585" spans="1:18">
      <c r="A585">
        <v>603</v>
      </c>
      <c r="B585" t="s">
        <v>18</v>
      </c>
      <c r="C585">
        <v>80</v>
      </c>
      <c r="D585">
        <v>132</v>
      </c>
      <c r="E585">
        <v>5</v>
      </c>
      <c r="F585" t="s">
        <v>588</v>
      </c>
      <c r="G585" t="s">
        <v>412</v>
      </c>
      <c r="H585" t="s">
        <v>331</v>
      </c>
      <c r="I585" t="s">
        <v>332</v>
      </c>
      <c r="J585" t="s">
        <v>589</v>
      </c>
      <c r="K585" t="s">
        <v>67</v>
      </c>
      <c r="L585">
        <v>50</v>
      </c>
      <c r="M585">
        <v>2011</v>
      </c>
      <c r="N585" t="s">
        <v>31</v>
      </c>
      <c r="O585" t="s">
        <v>98</v>
      </c>
      <c r="P585" t="s">
        <v>38</v>
      </c>
      <c r="Q585" t="s">
        <v>68</v>
      </c>
      <c r="R585" t="s">
        <v>39</v>
      </c>
    </row>
    <row r="586" spans="1:18">
      <c r="A586">
        <v>604</v>
      </c>
      <c r="B586" t="s">
        <v>18</v>
      </c>
      <c r="C586">
        <v>80</v>
      </c>
      <c r="D586">
        <v>132</v>
      </c>
      <c r="E586">
        <v>3.5</v>
      </c>
      <c r="F586" t="s">
        <v>990</v>
      </c>
      <c r="G586" t="s">
        <v>991</v>
      </c>
      <c r="H586" t="s">
        <v>120</v>
      </c>
      <c r="I586" t="s">
        <v>121</v>
      </c>
      <c r="J586" t="s">
        <v>992</v>
      </c>
      <c r="K586" t="s">
        <v>67</v>
      </c>
      <c r="L586">
        <v>50</v>
      </c>
      <c r="M586">
        <v>2010</v>
      </c>
      <c r="N586" t="s">
        <v>31</v>
      </c>
      <c r="O586" t="s">
        <v>204</v>
      </c>
      <c r="P586" t="s">
        <v>205</v>
      </c>
      <c r="Q586" t="s">
        <v>68</v>
      </c>
      <c r="R586" t="s">
        <v>39</v>
      </c>
    </row>
    <row r="587" spans="1:18">
      <c r="A587">
        <v>605</v>
      </c>
      <c r="B587" t="s">
        <v>18</v>
      </c>
      <c r="C587">
        <v>80</v>
      </c>
      <c r="D587">
        <v>132</v>
      </c>
      <c r="E587">
        <v>4</v>
      </c>
      <c r="F587" t="s">
        <v>993</v>
      </c>
      <c r="G587" t="s">
        <v>20</v>
      </c>
      <c r="H587" t="s">
        <v>21</v>
      </c>
      <c r="I587" t="s">
        <v>20</v>
      </c>
      <c r="J587" t="s">
        <v>994</v>
      </c>
      <c r="K587" t="s">
        <v>67</v>
      </c>
      <c r="L587">
        <v>50</v>
      </c>
      <c r="M587">
        <v>-1</v>
      </c>
      <c r="N587" t="s">
        <v>31</v>
      </c>
      <c r="O587" t="s">
        <v>916</v>
      </c>
      <c r="P587" t="s">
        <v>917</v>
      </c>
      <c r="Q587" t="s">
        <v>378</v>
      </c>
      <c r="R587" t="s">
        <v>39</v>
      </c>
    </row>
    <row r="588" spans="1:18">
      <c r="A588">
        <v>606</v>
      </c>
      <c r="B588" t="s">
        <v>18</v>
      </c>
      <c r="C588">
        <v>80</v>
      </c>
      <c r="D588">
        <v>132</v>
      </c>
      <c r="E588">
        <v>4.4000000000000004</v>
      </c>
      <c r="F588" t="s">
        <v>1096</v>
      </c>
      <c r="G588" t="s">
        <v>145</v>
      </c>
      <c r="H588" t="s">
        <v>146</v>
      </c>
      <c r="I588" t="s">
        <v>147</v>
      </c>
      <c r="J588" t="s">
        <v>368</v>
      </c>
      <c r="K588" t="s">
        <v>30</v>
      </c>
      <c r="L588">
        <v>200</v>
      </c>
      <c r="M588">
        <v>1997</v>
      </c>
      <c r="N588" t="s">
        <v>284</v>
      </c>
      <c r="O588" t="s">
        <v>57</v>
      </c>
      <c r="P588" t="s">
        <v>38</v>
      </c>
      <c r="Q588" t="s">
        <v>42</v>
      </c>
      <c r="R588" t="s">
        <v>39</v>
      </c>
    </row>
    <row r="589" spans="1:18">
      <c r="A589">
        <v>607</v>
      </c>
      <c r="B589" t="s">
        <v>18</v>
      </c>
      <c r="C589">
        <v>80</v>
      </c>
      <c r="D589">
        <v>132</v>
      </c>
      <c r="E589">
        <v>4.2</v>
      </c>
      <c r="F589" t="s">
        <v>1097</v>
      </c>
      <c r="G589" t="s">
        <v>167</v>
      </c>
      <c r="H589" t="s">
        <v>168</v>
      </c>
      <c r="I589" t="s">
        <v>169</v>
      </c>
      <c r="J589" t="s">
        <v>992</v>
      </c>
      <c r="K589" t="s">
        <v>85</v>
      </c>
      <c r="M589">
        <v>1999</v>
      </c>
      <c r="N589" t="s">
        <v>31</v>
      </c>
      <c r="O589" t="s">
        <v>98</v>
      </c>
      <c r="P589" t="s">
        <v>38</v>
      </c>
      <c r="Q589" t="s">
        <v>52</v>
      </c>
      <c r="R589" t="s">
        <v>1098</v>
      </c>
    </row>
    <row r="590" spans="1:18">
      <c r="A590">
        <v>608</v>
      </c>
      <c r="B590" t="s">
        <v>18</v>
      </c>
      <c r="C590">
        <v>80</v>
      </c>
      <c r="D590">
        <v>132</v>
      </c>
      <c r="E590">
        <v>3.2</v>
      </c>
      <c r="F590" t="s">
        <v>1099</v>
      </c>
      <c r="G590" t="s">
        <v>213</v>
      </c>
      <c r="H590" t="s">
        <v>214</v>
      </c>
      <c r="I590" t="s">
        <v>215</v>
      </c>
      <c r="J590" t="s">
        <v>1100</v>
      </c>
      <c r="K590" t="s">
        <v>67</v>
      </c>
      <c r="L590">
        <v>50</v>
      </c>
      <c r="M590">
        <v>-1</v>
      </c>
      <c r="N590" t="s">
        <v>31</v>
      </c>
      <c r="O590" t="s">
        <v>75</v>
      </c>
      <c r="P590" t="s">
        <v>33</v>
      </c>
      <c r="Q590" t="s">
        <v>68</v>
      </c>
      <c r="R590" t="s">
        <v>39</v>
      </c>
    </row>
    <row r="591" spans="1:18">
      <c r="A591">
        <v>609</v>
      </c>
      <c r="B591" t="s">
        <v>18</v>
      </c>
      <c r="C591">
        <v>80</v>
      </c>
      <c r="D591">
        <v>132</v>
      </c>
      <c r="E591">
        <v>3.4</v>
      </c>
      <c r="F591" t="s">
        <v>1101</v>
      </c>
      <c r="G591" t="s">
        <v>1045</v>
      </c>
      <c r="H591" t="s">
        <v>46</v>
      </c>
      <c r="I591" t="s">
        <v>47</v>
      </c>
      <c r="J591" t="s">
        <v>496</v>
      </c>
      <c r="K591" t="s">
        <v>30</v>
      </c>
      <c r="L591">
        <v>200</v>
      </c>
      <c r="M591">
        <v>1985</v>
      </c>
      <c r="N591" t="s">
        <v>31</v>
      </c>
      <c r="O591" t="s">
        <v>96</v>
      </c>
      <c r="P591" t="s">
        <v>96</v>
      </c>
      <c r="Q591" t="s">
        <v>64</v>
      </c>
      <c r="R591" t="s">
        <v>39</v>
      </c>
    </row>
    <row r="592" spans="1:18">
      <c r="A592">
        <v>610</v>
      </c>
      <c r="B592" t="s">
        <v>18</v>
      </c>
      <c r="C592">
        <v>80</v>
      </c>
      <c r="D592">
        <v>132</v>
      </c>
      <c r="E592">
        <v>4.7</v>
      </c>
      <c r="F592" t="s">
        <v>998</v>
      </c>
      <c r="G592" t="s">
        <v>145</v>
      </c>
      <c r="H592" t="s">
        <v>146</v>
      </c>
      <c r="I592" t="s">
        <v>147</v>
      </c>
      <c r="J592" t="s">
        <v>999</v>
      </c>
      <c r="K592" t="s">
        <v>67</v>
      </c>
      <c r="L592">
        <v>50</v>
      </c>
      <c r="M592">
        <v>-1</v>
      </c>
      <c r="N592" t="s">
        <v>31</v>
      </c>
      <c r="O592" t="s">
        <v>39</v>
      </c>
      <c r="P592">
        <v>-1</v>
      </c>
      <c r="Q592" t="s">
        <v>68</v>
      </c>
      <c r="R592" t="s">
        <v>39</v>
      </c>
    </row>
    <row r="593" spans="1:18">
      <c r="A593">
        <v>611</v>
      </c>
      <c r="B593" t="s">
        <v>18</v>
      </c>
      <c r="C593">
        <v>87</v>
      </c>
      <c r="D593">
        <v>141</v>
      </c>
      <c r="E593">
        <v>3.6</v>
      </c>
      <c r="F593" t="s">
        <v>361</v>
      </c>
      <c r="G593" t="s">
        <v>192</v>
      </c>
      <c r="H593" t="s">
        <v>362</v>
      </c>
      <c r="I593" t="s">
        <v>363</v>
      </c>
      <c r="J593" t="s">
        <v>364</v>
      </c>
      <c r="K593" t="s">
        <v>106</v>
      </c>
      <c r="L593">
        <v>500</v>
      </c>
      <c r="M593">
        <v>1997</v>
      </c>
      <c r="N593" t="s">
        <v>31</v>
      </c>
      <c r="O593" t="s">
        <v>365</v>
      </c>
      <c r="P593" t="s">
        <v>102</v>
      </c>
      <c r="Q593" t="s">
        <v>27</v>
      </c>
      <c r="R593" t="s">
        <v>39</v>
      </c>
    </row>
    <row r="594" spans="1:18">
      <c r="A594">
        <v>612</v>
      </c>
      <c r="B594" t="s">
        <v>18</v>
      </c>
      <c r="C594">
        <v>87</v>
      </c>
      <c r="D594">
        <v>141</v>
      </c>
      <c r="E594">
        <v>4.2</v>
      </c>
      <c r="F594" t="s">
        <v>44</v>
      </c>
      <c r="G594" t="s">
        <v>360</v>
      </c>
      <c r="H594" t="s">
        <v>46</v>
      </c>
      <c r="I594" t="s">
        <v>47</v>
      </c>
      <c r="J594" t="s">
        <v>48</v>
      </c>
      <c r="K594" t="s">
        <v>49</v>
      </c>
      <c r="L594">
        <v>10000</v>
      </c>
      <c r="M594">
        <v>1968</v>
      </c>
      <c r="N594" t="s">
        <v>50</v>
      </c>
      <c r="O594" t="s">
        <v>51</v>
      </c>
      <c r="P594" t="s">
        <v>33</v>
      </c>
      <c r="Q594" t="s">
        <v>52</v>
      </c>
      <c r="R594" t="s">
        <v>39</v>
      </c>
    </row>
    <row r="595" spans="1:18">
      <c r="A595">
        <v>614</v>
      </c>
      <c r="B595" t="s">
        <v>18</v>
      </c>
      <c r="C595">
        <v>87</v>
      </c>
      <c r="D595">
        <v>141</v>
      </c>
      <c r="E595">
        <v>3.2</v>
      </c>
      <c r="F595" t="s">
        <v>1102</v>
      </c>
      <c r="G595" t="s">
        <v>1103</v>
      </c>
      <c r="H595" t="s">
        <v>71</v>
      </c>
      <c r="I595" t="s">
        <v>72</v>
      </c>
      <c r="J595" t="s">
        <v>416</v>
      </c>
      <c r="K595" t="s">
        <v>85</v>
      </c>
      <c r="M595">
        <v>1853</v>
      </c>
      <c r="N595" t="s">
        <v>31</v>
      </c>
      <c r="O595" t="s">
        <v>25</v>
      </c>
      <c r="P595" t="s">
        <v>26</v>
      </c>
      <c r="Q595" t="s">
        <v>87</v>
      </c>
      <c r="R595" t="s">
        <v>1104</v>
      </c>
    </row>
    <row r="596" spans="1:18">
      <c r="A596">
        <v>615</v>
      </c>
      <c r="B596" t="s">
        <v>18</v>
      </c>
      <c r="C596">
        <v>87</v>
      </c>
      <c r="D596">
        <v>141</v>
      </c>
      <c r="E596">
        <v>-1</v>
      </c>
      <c r="F596" t="s">
        <v>1105</v>
      </c>
      <c r="G596" t="s">
        <v>145</v>
      </c>
      <c r="H596" t="s">
        <v>46</v>
      </c>
      <c r="I596" t="s">
        <v>47</v>
      </c>
      <c r="J596" t="s">
        <v>568</v>
      </c>
      <c r="K596" t="s">
        <v>546</v>
      </c>
      <c r="M596">
        <v>-1</v>
      </c>
      <c r="N596" t="s">
        <v>31</v>
      </c>
      <c r="O596" t="s">
        <v>39</v>
      </c>
      <c r="P596">
        <v>-1</v>
      </c>
      <c r="Q596" t="s">
        <v>27</v>
      </c>
      <c r="R596" t="s">
        <v>39</v>
      </c>
    </row>
    <row r="597" spans="1:18">
      <c r="A597">
        <v>616</v>
      </c>
      <c r="B597" t="s">
        <v>18</v>
      </c>
      <c r="C597">
        <v>87</v>
      </c>
      <c r="D597">
        <v>141</v>
      </c>
      <c r="E597">
        <v>2.8</v>
      </c>
      <c r="F597" t="s">
        <v>1106</v>
      </c>
      <c r="G597" t="s">
        <v>555</v>
      </c>
      <c r="H597" t="s">
        <v>214</v>
      </c>
      <c r="I597" t="s">
        <v>215</v>
      </c>
      <c r="J597" t="s">
        <v>1107</v>
      </c>
      <c r="K597" t="s">
        <v>23</v>
      </c>
      <c r="L597">
        <v>5000</v>
      </c>
      <c r="M597">
        <v>1983</v>
      </c>
      <c r="N597" t="s">
        <v>284</v>
      </c>
      <c r="O597" t="s">
        <v>1108</v>
      </c>
      <c r="P597" t="s">
        <v>267</v>
      </c>
      <c r="Q597" t="s">
        <v>126</v>
      </c>
      <c r="R597" t="s">
        <v>39</v>
      </c>
    </row>
    <row r="598" spans="1:18">
      <c r="A598">
        <v>617</v>
      </c>
      <c r="B598" t="s">
        <v>18</v>
      </c>
      <c r="C598">
        <v>87</v>
      </c>
      <c r="D598">
        <v>141</v>
      </c>
      <c r="E598">
        <v>4.2</v>
      </c>
      <c r="F598" t="s">
        <v>1097</v>
      </c>
      <c r="G598" t="s">
        <v>167</v>
      </c>
      <c r="H598" t="s">
        <v>168</v>
      </c>
      <c r="I598" t="s">
        <v>169</v>
      </c>
      <c r="J598" t="s">
        <v>992</v>
      </c>
      <c r="K598" t="s">
        <v>85</v>
      </c>
      <c r="M598">
        <v>1999</v>
      </c>
      <c r="N598" t="s">
        <v>31</v>
      </c>
      <c r="O598" t="s">
        <v>98</v>
      </c>
      <c r="P598" t="s">
        <v>38</v>
      </c>
      <c r="Q598" t="s">
        <v>52</v>
      </c>
      <c r="R598" t="s">
        <v>1098</v>
      </c>
    </row>
    <row r="599" spans="1:18">
      <c r="A599">
        <v>618</v>
      </c>
      <c r="B599" t="s">
        <v>18</v>
      </c>
      <c r="C599">
        <v>87</v>
      </c>
      <c r="D599">
        <v>141</v>
      </c>
      <c r="E599">
        <v>4.5</v>
      </c>
      <c r="F599" t="s">
        <v>1109</v>
      </c>
      <c r="G599" t="s">
        <v>360</v>
      </c>
      <c r="H599" t="s">
        <v>46</v>
      </c>
      <c r="I599" t="s">
        <v>47</v>
      </c>
      <c r="J599" t="s">
        <v>496</v>
      </c>
      <c r="K599" t="s">
        <v>30</v>
      </c>
      <c r="L599">
        <v>200</v>
      </c>
      <c r="M599">
        <v>2009</v>
      </c>
      <c r="N599" t="s">
        <v>31</v>
      </c>
      <c r="O599" t="s">
        <v>96</v>
      </c>
      <c r="P599" t="s">
        <v>96</v>
      </c>
      <c r="Q599" t="s">
        <v>27</v>
      </c>
      <c r="R599" t="s">
        <v>39</v>
      </c>
    </row>
    <row r="600" spans="1:18">
      <c r="A600">
        <v>619</v>
      </c>
      <c r="B600" t="s">
        <v>18</v>
      </c>
      <c r="C600">
        <v>87</v>
      </c>
      <c r="D600">
        <v>141</v>
      </c>
      <c r="E600">
        <v>3</v>
      </c>
      <c r="F600" t="s">
        <v>1110</v>
      </c>
      <c r="G600" t="s">
        <v>190</v>
      </c>
      <c r="H600" t="s">
        <v>179</v>
      </c>
      <c r="I600" t="s">
        <v>145</v>
      </c>
      <c r="J600" t="s">
        <v>187</v>
      </c>
      <c r="K600" t="s">
        <v>30</v>
      </c>
      <c r="L600">
        <v>200</v>
      </c>
      <c r="M600">
        <v>2006</v>
      </c>
      <c r="N600" t="s">
        <v>31</v>
      </c>
      <c r="O600" t="s">
        <v>75</v>
      </c>
      <c r="P600" t="s">
        <v>33</v>
      </c>
      <c r="Q600" t="s">
        <v>140</v>
      </c>
      <c r="R600" t="s">
        <v>39</v>
      </c>
    </row>
    <row r="601" spans="1:18">
      <c r="A601">
        <v>620</v>
      </c>
      <c r="B601" t="s">
        <v>18</v>
      </c>
      <c r="C601">
        <v>87</v>
      </c>
      <c r="D601">
        <v>141</v>
      </c>
      <c r="E601">
        <v>3.3</v>
      </c>
      <c r="F601" t="s">
        <v>1111</v>
      </c>
      <c r="G601" t="s">
        <v>192</v>
      </c>
      <c r="H601" t="s">
        <v>112</v>
      </c>
      <c r="I601" t="s">
        <v>193</v>
      </c>
      <c r="J601" t="s">
        <v>462</v>
      </c>
      <c r="K601" t="s">
        <v>49</v>
      </c>
      <c r="L601">
        <v>10000</v>
      </c>
      <c r="M601">
        <v>1951</v>
      </c>
      <c r="N601" t="s">
        <v>50</v>
      </c>
      <c r="O601" t="s">
        <v>96</v>
      </c>
      <c r="P601" t="s">
        <v>96</v>
      </c>
      <c r="Q601" t="s">
        <v>52</v>
      </c>
      <c r="R601" t="s">
        <v>1112</v>
      </c>
    </row>
    <row r="602" spans="1:18">
      <c r="A602">
        <v>621</v>
      </c>
      <c r="B602" t="s">
        <v>18</v>
      </c>
      <c r="C602">
        <v>87</v>
      </c>
      <c r="D602">
        <v>141</v>
      </c>
      <c r="E602">
        <v>4</v>
      </c>
      <c r="F602" t="s">
        <v>1113</v>
      </c>
      <c r="G602" t="s">
        <v>833</v>
      </c>
      <c r="H602" t="s">
        <v>120</v>
      </c>
      <c r="I602" t="s">
        <v>121</v>
      </c>
      <c r="J602" t="s">
        <v>807</v>
      </c>
      <c r="K602" t="s">
        <v>67</v>
      </c>
      <c r="L602">
        <v>50</v>
      </c>
      <c r="M602">
        <v>-1</v>
      </c>
      <c r="N602" t="s">
        <v>31</v>
      </c>
      <c r="O602" t="s">
        <v>39</v>
      </c>
      <c r="P602">
        <v>-1</v>
      </c>
      <c r="Q602" t="s">
        <v>378</v>
      </c>
      <c r="R602" t="s">
        <v>39</v>
      </c>
    </row>
    <row r="603" spans="1:18">
      <c r="A603">
        <v>622</v>
      </c>
      <c r="B603" t="s">
        <v>195</v>
      </c>
      <c r="C603">
        <v>87</v>
      </c>
      <c r="D603">
        <v>141</v>
      </c>
      <c r="E603">
        <v>3.5</v>
      </c>
      <c r="F603" t="s">
        <v>1114</v>
      </c>
      <c r="G603" t="s">
        <v>1115</v>
      </c>
      <c r="H603" t="s">
        <v>120</v>
      </c>
      <c r="I603" t="s">
        <v>121</v>
      </c>
      <c r="J603" t="s">
        <v>1116</v>
      </c>
      <c r="K603" t="s">
        <v>56</v>
      </c>
      <c r="L603">
        <v>1000</v>
      </c>
      <c r="M603">
        <v>2013</v>
      </c>
      <c r="N603" t="s">
        <v>31</v>
      </c>
      <c r="O603" t="s">
        <v>204</v>
      </c>
      <c r="P603" t="s">
        <v>205</v>
      </c>
      <c r="Q603" t="s">
        <v>27</v>
      </c>
      <c r="R603" t="s">
        <v>39</v>
      </c>
    </row>
    <row r="604" spans="1:18">
      <c r="A604">
        <v>623</v>
      </c>
      <c r="B604" t="s">
        <v>18</v>
      </c>
      <c r="C604">
        <v>87</v>
      </c>
      <c r="D604">
        <v>141</v>
      </c>
      <c r="E604">
        <v>3.5</v>
      </c>
      <c r="F604" t="s">
        <v>1117</v>
      </c>
      <c r="G604" t="s">
        <v>592</v>
      </c>
      <c r="H604" t="s">
        <v>331</v>
      </c>
      <c r="I604" t="s">
        <v>332</v>
      </c>
      <c r="J604" t="s">
        <v>22</v>
      </c>
      <c r="K604" t="s">
        <v>67</v>
      </c>
      <c r="L604">
        <v>50</v>
      </c>
      <c r="M604">
        <v>1998</v>
      </c>
      <c r="N604" t="s">
        <v>31</v>
      </c>
      <c r="O604" t="s">
        <v>75</v>
      </c>
      <c r="P604" t="s">
        <v>33</v>
      </c>
      <c r="Q604" t="s">
        <v>198</v>
      </c>
      <c r="R604" t="s">
        <v>39</v>
      </c>
    </row>
    <row r="605" spans="1:18">
      <c r="A605">
        <v>624</v>
      </c>
      <c r="B605" t="s">
        <v>18</v>
      </c>
      <c r="C605">
        <v>87</v>
      </c>
      <c r="D605">
        <v>141</v>
      </c>
      <c r="E605">
        <v>3.6</v>
      </c>
      <c r="F605" t="s">
        <v>1118</v>
      </c>
      <c r="G605" t="s">
        <v>54</v>
      </c>
      <c r="H605" t="s">
        <v>46</v>
      </c>
      <c r="I605" t="s">
        <v>47</v>
      </c>
      <c r="J605" t="s">
        <v>1119</v>
      </c>
      <c r="K605" t="s">
        <v>30</v>
      </c>
      <c r="L605">
        <v>200</v>
      </c>
      <c r="M605">
        <v>1990</v>
      </c>
      <c r="N605" t="s">
        <v>31</v>
      </c>
      <c r="O605" t="s">
        <v>37</v>
      </c>
      <c r="P605" t="s">
        <v>38</v>
      </c>
      <c r="Q605" t="s">
        <v>140</v>
      </c>
      <c r="R605" t="s">
        <v>39</v>
      </c>
    </row>
    <row r="606" spans="1:18">
      <c r="A606">
        <v>625</v>
      </c>
      <c r="B606" t="s">
        <v>18</v>
      </c>
      <c r="C606">
        <v>87</v>
      </c>
      <c r="D606">
        <v>141</v>
      </c>
      <c r="E606">
        <v>3</v>
      </c>
      <c r="F606" t="s">
        <v>1120</v>
      </c>
      <c r="G606" t="s">
        <v>360</v>
      </c>
      <c r="H606" t="s">
        <v>46</v>
      </c>
      <c r="I606" t="s">
        <v>47</v>
      </c>
      <c r="J606" t="s">
        <v>945</v>
      </c>
      <c r="K606" t="s">
        <v>30</v>
      </c>
      <c r="L606">
        <v>200</v>
      </c>
      <c r="M606">
        <v>2012</v>
      </c>
      <c r="N606" t="s">
        <v>31</v>
      </c>
      <c r="O606" t="s">
        <v>57</v>
      </c>
      <c r="P606" t="s">
        <v>38</v>
      </c>
      <c r="Q606" t="s">
        <v>27</v>
      </c>
      <c r="R606" t="s">
        <v>39</v>
      </c>
    </row>
    <row r="607" spans="1:18">
      <c r="A607">
        <v>626</v>
      </c>
      <c r="B607" t="s">
        <v>18</v>
      </c>
      <c r="C607">
        <v>87</v>
      </c>
      <c r="D607">
        <v>141</v>
      </c>
      <c r="E607">
        <v>4</v>
      </c>
      <c r="F607" t="s">
        <v>408</v>
      </c>
      <c r="G607" t="s">
        <v>1121</v>
      </c>
      <c r="H607" t="s">
        <v>1122</v>
      </c>
      <c r="I607" t="s">
        <v>1123</v>
      </c>
      <c r="J607" t="s">
        <v>368</v>
      </c>
      <c r="K607" t="s">
        <v>23</v>
      </c>
      <c r="L607">
        <v>5000</v>
      </c>
      <c r="M607">
        <v>1996</v>
      </c>
      <c r="N607" t="s">
        <v>24</v>
      </c>
      <c r="O607" t="s">
        <v>75</v>
      </c>
      <c r="P607" t="s">
        <v>33</v>
      </c>
      <c r="Q607" t="s">
        <v>42</v>
      </c>
      <c r="R607" t="s">
        <v>409</v>
      </c>
    </row>
    <row r="608" spans="1:18">
      <c r="A608">
        <v>627</v>
      </c>
      <c r="B608" t="s">
        <v>18</v>
      </c>
      <c r="C608">
        <v>87</v>
      </c>
      <c r="D608">
        <v>141</v>
      </c>
      <c r="E608">
        <v>4.5999999999999996</v>
      </c>
      <c r="F608" t="s">
        <v>1000</v>
      </c>
      <c r="G608" t="s">
        <v>1001</v>
      </c>
      <c r="H608" t="s">
        <v>214</v>
      </c>
      <c r="I608" t="s">
        <v>215</v>
      </c>
      <c r="J608" t="s">
        <v>656</v>
      </c>
      <c r="K608" t="s">
        <v>67</v>
      </c>
      <c r="L608">
        <v>50</v>
      </c>
      <c r="M608">
        <v>1988</v>
      </c>
      <c r="N608" t="s">
        <v>31</v>
      </c>
      <c r="O608" t="s">
        <v>270</v>
      </c>
      <c r="P608" t="s">
        <v>33</v>
      </c>
      <c r="Q608" t="s">
        <v>140</v>
      </c>
      <c r="R608" t="s">
        <v>39</v>
      </c>
    </row>
    <row r="609" spans="1:18">
      <c r="A609">
        <v>628</v>
      </c>
      <c r="B609" t="s">
        <v>18</v>
      </c>
      <c r="C609">
        <v>87</v>
      </c>
      <c r="D609">
        <v>141</v>
      </c>
      <c r="E609">
        <v>4.3</v>
      </c>
      <c r="F609" t="s">
        <v>1124</v>
      </c>
      <c r="G609" t="s">
        <v>1125</v>
      </c>
      <c r="H609" t="s">
        <v>120</v>
      </c>
      <c r="I609" t="s">
        <v>121</v>
      </c>
      <c r="J609" t="s">
        <v>1126</v>
      </c>
      <c r="K609" t="s">
        <v>23</v>
      </c>
      <c r="L609">
        <v>5000</v>
      </c>
      <c r="M609">
        <v>2000</v>
      </c>
      <c r="N609" t="s">
        <v>31</v>
      </c>
      <c r="O609" t="s">
        <v>37</v>
      </c>
      <c r="P609" t="s">
        <v>38</v>
      </c>
      <c r="Q609" t="s">
        <v>42</v>
      </c>
      <c r="R609" t="s">
        <v>39</v>
      </c>
    </row>
    <row r="610" spans="1:18">
      <c r="A610">
        <v>629</v>
      </c>
      <c r="B610" t="s">
        <v>18</v>
      </c>
      <c r="C610">
        <v>87</v>
      </c>
      <c r="D610">
        <v>141</v>
      </c>
      <c r="E610">
        <v>4.7</v>
      </c>
      <c r="F610" t="s">
        <v>1006</v>
      </c>
      <c r="G610" t="s">
        <v>152</v>
      </c>
      <c r="H610" t="s">
        <v>153</v>
      </c>
      <c r="I610" t="s">
        <v>154</v>
      </c>
      <c r="J610" t="s">
        <v>1007</v>
      </c>
      <c r="K610" t="s">
        <v>30</v>
      </c>
      <c r="L610">
        <v>200</v>
      </c>
      <c r="M610">
        <v>1994</v>
      </c>
      <c r="N610" t="s">
        <v>31</v>
      </c>
      <c r="O610" t="s">
        <v>270</v>
      </c>
      <c r="P610" t="s">
        <v>33</v>
      </c>
      <c r="Q610" t="s">
        <v>140</v>
      </c>
      <c r="R610" t="s">
        <v>39</v>
      </c>
    </row>
    <row r="611" spans="1:18">
      <c r="A611">
        <v>630</v>
      </c>
      <c r="B611" t="s">
        <v>18</v>
      </c>
      <c r="C611">
        <v>87</v>
      </c>
      <c r="D611">
        <v>141</v>
      </c>
      <c r="E611">
        <v>3.7</v>
      </c>
      <c r="F611" t="s">
        <v>1127</v>
      </c>
      <c r="G611" t="s">
        <v>726</v>
      </c>
      <c r="H611" t="s">
        <v>46</v>
      </c>
      <c r="I611" t="s">
        <v>47</v>
      </c>
      <c r="J611" t="s">
        <v>251</v>
      </c>
      <c r="K611" t="s">
        <v>106</v>
      </c>
      <c r="L611">
        <v>500</v>
      </c>
      <c r="M611">
        <v>2004</v>
      </c>
      <c r="N611" t="s">
        <v>31</v>
      </c>
      <c r="O611" t="s">
        <v>98</v>
      </c>
      <c r="P611" t="s">
        <v>38</v>
      </c>
      <c r="Q611" t="s">
        <v>27</v>
      </c>
      <c r="R611" t="s">
        <v>39</v>
      </c>
    </row>
    <row r="612" spans="1:18">
      <c r="A612">
        <v>631</v>
      </c>
      <c r="B612" t="s">
        <v>18</v>
      </c>
      <c r="C612">
        <v>92</v>
      </c>
      <c r="D612">
        <v>155</v>
      </c>
      <c r="E612">
        <v>3.9</v>
      </c>
      <c r="F612" t="s">
        <v>355</v>
      </c>
      <c r="G612" t="s">
        <v>20</v>
      </c>
      <c r="H612" t="s">
        <v>21</v>
      </c>
      <c r="I612" t="s">
        <v>20</v>
      </c>
      <c r="J612" t="s">
        <v>55</v>
      </c>
      <c r="K612" t="s">
        <v>85</v>
      </c>
      <c r="M612">
        <v>1911</v>
      </c>
      <c r="N612" t="s">
        <v>31</v>
      </c>
      <c r="O612" t="s">
        <v>356</v>
      </c>
      <c r="P612" t="s">
        <v>80</v>
      </c>
      <c r="Q612" t="s">
        <v>87</v>
      </c>
      <c r="R612" t="s">
        <v>39</v>
      </c>
    </row>
    <row r="613" spans="1:18">
      <c r="A613">
        <v>632</v>
      </c>
      <c r="B613" t="s">
        <v>18</v>
      </c>
      <c r="C613">
        <v>92</v>
      </c>
      <c r="D613">
        <v>155</v>
      </c>
      <c r="E613">
        <v>4.9000000000000004</v>
      </c>
      <c r="F613" t="s">
        <v>376</v>
      </c>
      <c r="G613" t="s">
        <v>192</v>
      </c>
      <c r="H613" t="s">
        <v>244</v>
      </c>
      <c r="I613" t="s">
        <v>245</v>
      </c>
      <c r="J613" t="s">
        <v>377</v>
      </c>
      <c r="K613" t="s">
        <v>67</v>
      </c>
      <c r="L613">
        <v>50</v>
      </c>
      <c r="M613">
        <v>2013</v>
      </c>
      <c r="N613" t="s">
        <v>31</v>
      </c>
      <c r="O613" t="s">
        <v>57</v>
      </c>
      <c r="P613" t="s">
        <v>38</v>
      </c>
      <c r="Q613" t="s">
        <v>378</v>
      </c>
      <c r="R613" t="s">
        <v>39</v>
      </c>
    </row>
    <row r="614" spans="1:18">
      <c r="A614">
        <v>633</v>
      </c>
      <c r="B614" t="s">
        <v>18</v>
      </c>
      <c r="C614">
        <v>92</v>
      </c>
      <c r="D614">
        <v>155</v>
      </c>
      <c r="E614">
        <v>3</v>
      </c>
      <c r="F614" t="s">
        <v>1128</v>
      </c>
      <c r="G614" t="s">
        <v>844</v>
      </c>
      <c r="H614" t="s">
        <v>179</v>
      </c>
      <c r="I614" t="s">
        <v>145</v>
      </c>
      <c r="J614" t="s">
        <v>723</v>
      </c>
      <c r="K614" t="s">
        <v>30</v>
      </c>
      <c r="L614">
        <v>200</v>
      </c>
      <c r="M614">
        <v>-1</v>
      </c>
      <c r="N614" t="s">
        <v>31</v>
      </c>
      <c r="O614" t="s">
        <v>75</v>
      </c>
      <c r="P614" t="s">
        <v>33</v>
      </c>
      <c r="Q614" t="s">
        <v>359</v>
      </c>
      <c r="R614" t="s">
        <v>39</v>
      </c>
    </row>
    <row r="615" spans="1:18">
      <c r="A615">
        <v>634</v>
      </c>
      <c r="B615" t="s">
        <v>18</v>
      </c>
      <c r="C615">
        <v>92</v>
      </c>
      <c r="D615">
        <v>155</v>
      </c>
      <c r="E615">
        <v>2.5</v>
      </c>
      <c r="F615" t="s">
        <v>1129</v>
      </c>
      <c r="G615" t="s">
        <v>1130</v>
      </c>
      <c r="H615" t="s">
        <v>153</v>
      </c>
      <c r="I615" t="s">
        <v>154</v>
      </c>
      <c r="J615" t="s">
        <v>773</v>
      </c>
      <c r="K615" t="s">
        <v>49</v>
      </c>
      <c r="L615">
        <v>10000</v>
      </c>
      <c r="M615">
        <v>1954</v>
      </c>
      <c r="N615" t="s">
        <v>31</v>
      </c>
      <c r="O615" t="s">
        <v>1035</v>
      </c>
      <c r="P615" t="s">
        <v>33</v>
      </c>
      <c r="Q615" t="s">
        <v>27</v>
      </c>
      <c r="R615" t="s">
        <v>1131</v>
      </c>
    </row>
    <row r="616" spans="1:18">
      <c r="A616">
        <v>635</v>
      </c>
      <c r="B616" t="s">
        <v>18</v>
      </c>
      <c r="C616">
        <v>92</v>
      </c>
      <c r="D616">
        <v>155</v>
      </c>
      <c r="E616">
        <v>3.5</v>
      </c>
      <c r="F616" t="s">
        <v>1008</v>
      </c>
      <c r="G616" t="s">
        <v>129</v>
      </c>
      <c r="H616" t="s">
        <v>120</v>
      </c>
      <c r="I616" t="s">
        <v>121</v>
      </c>
      <c r="J616" t="s">
        <v>36</v>
      </c>
      <c r="K616" t="s">
        <v>30</v>
      </c>
      <c r="L616">
        <v>200</v>
      </c>
      <c r="M616">
        <v>1998</v>
      </c>
      <c r="N616" t="s">
        <v>31</v>
      </c>
      <c r="O616" t="s">
        <v>75</v>
      </c>
      <c r="P616" t="s">
        <v>33</v>
      </c>
      <c r="Q616" t="s">
        <v>64</v>
      </c>
      <c r="R616" t="s">
        <v>39</v>
      </c>
    </row>
    <row r="617" spans="1:18">
      <c r="A617">
        <v>636</v>
      </c>
      <c r="B617" t="s">
        <v>18</v>
      </c>
      <c r="C617">
        <v>92</v>
      </c>
      <c r="D617">
        <v>155</v>
      </c>
      <c r="E617">
        <v>5</v>
      </c>
      <c r="F617" t="s">
        <v>588</v>
      </c>
      <c r="G617" t="s">
        <v>592</v>
      </c>
      <c r="H617" t="s">
        <v>331</v>
      </c>
      <c r="I617" t="s">
        <v>332</v>
      </c>
      <c r="J617" t="s">
        <v>589</v>
      </c>
      <c r="K617" t="s">
        <v>67</v>
      </c>
      <c r="L617">
        <v>50</v>
      </c>
      <c r="M617">
        <v>2011</v>
      </c>
      <c r="N617" t="s">
        <v>31</v>
      </c>
      <c r="O617" t="s">
        <v>98</v>
      </c>
      <c r="P617" t="s">
        <v>38</v>
      </c>
      <c r="Q617" t="s">
        <v>68</v>
      </c>
      <c r="R617" t="s">
        <v>39</v>
      </c>
    </row>
    <row r="618" spans="1:18">
      <c r="A618">
        <v>637</v>
      </c>
      <c r="B618" t="s">
        <v>18</v>
      </c>
      <c r="C618">
        <v>92</v>
      </c>
      <c r="D618">
        <v>155</v>
      </c>
      <c r="E618">
        <v>-1</v>
      </c>
      <c r="F618" t="s">
        <v>1005</v>
      </c>
      <c r="G618" t="s">
        <v>45</v>
      </c>
      <c r="H618" t="s">
        <v>46</v>
      </c>
      <c r="I618" t="s">
        <v>47</v>
      </c>
      <c r="J618" t="s">
        <v>677</v>
      </c>
      <c r="K618" t="s">
        <v>67</v>
      </c>
      <c r="L618">
        <v>50</v>
      </c>
      <c r="M618">
        <v>-1</v>
      </c>
      <c r="N618" t="s">
        <v>546</v>
      </c>
      <c r="O618" t="s">
        <v>39</v>
      </c>
      <c r="P618">
        <v>-1</v>
      </c>
      <c r="Q618" t="s">
        <v>27</v>
      </c>
      <c r="R618" t="s">
        <v>39</v>
      </c>
    </row>
    <row r="619" spans="1:18">
      <c r="A619">
        <v>638</v>
      </c>
      <c r="B619" t="s">
        <v>18</v>
      </c>
      <c r="C619">
        <v>92</v>
      </c>
      <c r="D619">
        <v>155</v>
      </c>
      <c r="E619">
        <v>3.5</v>
      </c>
      <c r="F619" t="s">
        <v>403</v>
      </c>
      <c r="G619" t="s">
        <v>54</v>
      </c>
      <c r="H619" t="s">
        <v>46</v>
      </c>
      <c r="I619" t="s">
        <v>47</v>
      </c>
      <c r="J619" t="s">
        <v>404</v>
      </c>
      <c r="K619" t="s">
        <v>49</v>
      </c>
      <c r="L619">
        <v>10000</v>
      </c>
      <c r="M619">
        <v>-1</v>
      </c>
      <c r="N619" t="s">
        <v>50</v>
      </c>
      <c r="O619" t="s">
        <v>96</v>
      </c>
      <c r="P619" t="s">
        <v>96</v>
      </c>
      <c r="Q619" t="s">
        <v>126</v>
      </c>
      <c r="R619" t="s">
        <v>39</v>
      </c>
    </row>
    <row r="620" spans="1:18">
      <c r="A620">
        <v>639</v>
      </c>
      <c r="B620" t="s">
        <v>18</v>
      </c>
      <c r="C620">
        <v>92</v>
      </c>
      <c r="D620">
        <v>155</v>
      </c>
      <c r="E620">
        <v>3</v>
      </c>
      <c r="F620" t="s">
        <v>1132</v>
      </c>
      <c r="G620" t="s">
        <v>190</v>
      </c>
      <c r="H620" t="s">
        <v>179</v>
      </c>
      <c r="I620" t="s">
        <v>145</v>
      </c>
      <c r="J620" t="s">
        <v>1133</v>
      </c>
      <c r="K620" t="s">
        <v>30</v>
      </c>
      <c r="L620">
        <v>200</v>
      </c>
      <c r="M620">
        <v>1999</v>
      </c>
      <c r="N620" t="s">
        <v>31</v>
      </c>
      <c r="O620" t="s">
        <v>57</v>
      </c>
      <c r="P620" t="s">
        <v>38</v>
      </c>
      <c r="Q620" t="s">
        <v>27</v>
      </c>
      <c r="R620" t="s">
        <v>1134</v>
      </c>
    </row>
    <row r="621" spans="1:18">
      <c r="A621">
        <v>640</v>
      </c>
      <c r="B621" t="s">
        <v>18</v>
      </c>
      <c r="C621">
        <v>92</v>
      </c>
      <c r="D621">
        <v>155</v>
      </c>
      <c r="E621">
        <v>5</v>
      </c>
      <c r="F621" t="s">
        <v>1017</v>
      </c>
      <c r="G621" t="s">
        <v>20</v>
      </c>
      <c r="H621" t="s">
        <v>21</v>
      </c>
      <c r="I621" t="s">
        <v>20</v>
      </c>
      <c r="J621" t="s">
        <v>1018</v>
      </c>
      <c r="K621" t="s">
        <v>67</v>
      </c>
      <c r="L621">
        <v>50</v>
      </c>
      <c r="M621">
        <v>1987</v>
      </c>
      <c r="N621" t="s">
        <v>31</v>
      </c>
      <c r="O621" t="s">
        <v>270</v>
      </c>
      <c r="P621" t="s">
        <v>33</v>
      </c>
      <c r="Q621" t="s">
        <v>27</v>
      </c>
      <c r="R621" t="s">
        <v>39</v>
      </c>
    </row>
    <row r="622" spans="1:18">
      <c r="A622">
        <v>641</v>
      </c>
      <c r="B622" t="s">
        <v>18</v>
      </c>
      <c r="C622">
        <v>92</v>
      </c>
      <c r="D622">
        <v>155</v>
      </c>
      <c r="E622">
        <v>4.7</v>
      </c>
      <c r="F622" t="s">
        <v>1135</v>
      </c>
      <c r="G622" t="s">
        <v>152</v>
      </c>
      <c r="H622" t="s">
        <v>153</v>
      </c>
      <c r="I622" t="s">
        <v>154</v>
      </c>
      <c r="J622" t="s">
        <v>773</v>
      </c>
      <c r="K622" t="s">
        <v>30</v>
      </c>
      <c r="L622">
        <v>200</v>
      </c>
      <c r="M622">
        <v>-1</v>
      </c>
      <c r="N622" t="s">
        <v>31</v>
      </c>
      <c r="O622" t="s">
        <v>98</v>
      </c>
      <c r="P622" t="s">
        <v>38</v>
      </c>
      <c r="Q622" t="s">
        <v>27</v>
      </c>
      <c r="R622" t="s">
        <v>39</v>
      </c>
    </row>
    <row r="623" spans="1:18">
      <c r="A623">
        <v>642</v>
      </c>
      <c r="B623" t="s">
        <v>195</v>
      </c>
      <c r="C623">
        <v>92</v>
      </c>
      <c r="D623">
        <v>155</v>
      </c>
      <c r="E623">
        <v>3.3</v>
      </c>
      <c r="F623" t="s">
        <v>1136</v>
      </c>
      <c r="G623" t="s">
        <v>904</v>
      </c>
      <c r="H623" t="s">
        <v>173</v>
      </c>
      <c r="I623" t="s">
        <v>174</v>
      </c>
      <c r="J623" t="s">
        <v>905</v>
      </c>
      <c r="K623" t="s">
        <v>106</v>
      </c>
      <c r="L623">
        <v>500</v>
      </c>
      <c r="M623">
        <v>1992</v>
      </c>
      <c r="N623" t="s">
        <v>31</v>
      </c>
      <c r="O623" t="s">
        <v>25</v>
      </c>
      <c r="P623" t="s">
        <v>26</v>
      </c>
      <c r="Q623" t="s">
        <v>42</v>
      </c>
      <c r="R623" t="s">
        <v>39</v>
      </c>
    </row>
    <row r="624" spans="1:18">
      <c r="A624">
        <v>643</v>
      </c>
      <c r="B624" t="s">
        <v>18</v>
      </c>
      <c r="C624">
        <v>92</v>
      </c>
      <c r="D624">
        <v>155</v>
      </c>
      <c r="E624">
        <v>3.3</v>
      </c>
      <c r="F624" t="s">
        <v>1137</v>
      </c>
      <c r="G624" t="s">
        <v>1138</v>
      </c>
      <c r="H624" t="s">
        <v>214</v>
      </c>
      <c r="I624" t="s">
        <v>215</v>
      </c>
      <c r="J624" t="s">
        <v>656</v>
      </c>
      <c r="K624" t="s">
        <v>23</v>
      </c>
      <c r="L624">
        <v>5000</v>
      </c>
      <c r="M624">
        <v>1974</v>
      </c>
      <c r="N624" t="s">
        <v>31</v>
      </c>
      <c r="O624" t="s">
        <v>25</v>
      </c>
      <c r="P624" t="s">
        <v>26</v>
      </c>
      <c r="Q624" t="s">
        <v>27</v>
      </c>
      <c r="R624" t="s">
        <v>1139</v>
      </c>
    </row>
    <row r="625" spans="1:18">
      <c r="A625">
        <v>644</v>
      </c>
      <c r="B625" t="s">
        <v>18</v>
      </c>
      <c r="C625">
        <v>92</v>
      </c>
      <c r="D625">
        <v>155</v>
      </c>
      <c r="E625">
        <v>3.5</v>
      </c>
      <c r="F625" t="s">
        <v>1140</v>
      </c>
      <c r="G625" t="s">
        <v>45</v>
      </c>
      <c r="H625" t="s">
        <v>46</v>
      </c>
      <c r="I625" t="s">
        <v>47</v>
      </c>
      <c r="J625" t="s">
        <v>524</v>
      </c>
      <c r="K625" t="s">
        <v>85</v>
      </c>
      <c r="M625">
        <v>1962</v>
      </c>
      <c r="N625" t="s">
        <v>50</v>
      </c>
      <c r="O625" t="s">
        <v>96</v>
      </c>
      <c r="P625" t="s">
        <v>96</v>
      </c>
      <c r="Q625" t="s">
        <v>126</v>
      </c>
      <c r="R625" t="s">
        <v>1141</v>
      </c>
    </row>
    <row r="626" spans="1:18">
      <c r="A626">
        <v>645</v>
      </c>
      <c r="B626" t="s">
        <v>103</v>
      </c>
      <c r="C626">
        <v>92</v>
      </c>
      <c r="D626">
        <v>155</v>
      </c>
      <c r="E626">
        <v>4.0999999999999996</v>
      </c>
      <c r="F626" t="s">
        <v>1041</v>
      </c>
      <c r="G626" t="s">
        <v>292</v>
      </c>
      <c r="H626" t="s">
        <v>120</v>
      </c>
      <c r="I626" t="s">
        <v>121</v>
      </c>
      <c r="J626" t="s">
        <v>1042</v>
      </c>
      <c r="K626" t="s">
        <v>85</v>
      </c>
      <c r="M626">
        <v>1976</v>
      </c>
      <c r="N626" t="s">
        <v>50</v>
      </c>
      <c r="O626" t="s">
        <v>37</v>
      </c>
      <c r="P626" t="s">
        <v>38</v>
      </c>
      <c r="Q626" t="s">
        <v>87</v>
      </c>
      <c r="R626" t="s">
        <v>1043</v>
      </c>
    </row>
    <row r="627" spans="1:18">
      <c r="A627">
        <v>646</v>
      </c>
      <c r="B627" t="s">
        <v>18</v>
      </c>
      <c r="C627">
        <v>92</v>
      </c>
      <c r="D627">
        <v>155</v>
      </c>
      <c r="E627">
        <v>3.5</v>
      </c>
      <c r="F627" t="s">
        <v>403</v>
      </c>
      <c r="G627" t="s">
        <v>54</v>
      </c>
      <c r="H627" t="s">
        <v>46</v>
      </c>
      <c r="I627" t="s">
        <v>47</v>
      </c>
      <c r="J627" t="s">
        <v>404</v>
      </c>
      <c r="K627" t="s">
        <v>49</v>
      </c>
      <c r="L627">
        <v>10000</v>
      </c>
      <c r="M627">
        <v>-1</v>
      </c>
      <c r="N627" t="s">
        <v>50</v>
      </c>
      <c r="O627" t="s">
        <v>96</v>
      </c>
      <c r="P627" t="s">
        <v>96</v>
      </c>
      <c r="Q627" t="s">
        <v>126</v>
      </c>
      <c r="R627" t="s">
        <v>39</v>
      </c>
    </row>
    <row r="628" spans="1:18">
      <c r="A628">
        <v>647</v>
      </c>
      <c r="B628" t="s">
        <v>112</v>
      </c>
      <c r="C628">
        <v>92</v>
      </c>
      <c r="D628">
        <v>155</v>
      </c>
      <c r="E628">
        <v>3.9</v>
      </c>
      <c r="F628" t="s">
        <v>593</v>
      </c>
      <c r="G628" t="s">
        <v>594</v>
      </c>
      <c r="H628" t="s">
        <v>584</v>
      </c>
      <c r="I628" t="s">
        <v>585</v>
      </c>
      <c r="J628" t="s">
        <v>595</v>
      </c>
      <c r="K628" t="s">
        <v>23</v>
      </c>
      <c r="L628">
        <v>5000</v>
      </c>
      <c r="M628">
        <v>1947</v>
      </c>
      <c r="N628" t="s">
        <v>24</v>
      </c>
      <c r="O628" t="s">
        <v>51</v>
      </c>
      <c r="P628" t="s">
        <v>33</v>
      </c>
      <c r="Q628" t="s">
        <v>183</v>
      </c>
      <c r="R628" t="s">
        <v>596</v>
      </c>
    </row>
    <row r="629" spans="1:18">
      <c r="A629">
        <v>648</v>
      </c>
      <c r="B629" t="s">
        <v>18</v>
      </c>
      <c r="C629">
        <v>92</v>
      </c>
      <c r="D629">
        <v>155</v>
      </c>
      <c r="E629">
        <v>4.7</v>
      </c>
      <c r="F629" t="s">
        <v>832</v>
      </c>
      <c r="G629" t="s">
        <v>833</v>
      </c>
      <c r="H629" t="s">
        <v>120</v>
      </c>
      <c r="I629" t="s">
        <v>121</v>
      </c>
      <c r="J629" t="s">
        <v>834</v>
      </c>
      <c r="K629" t="s">
        <v>30</v>
      </c>
      <c r="L629">
        <v>200</v>
      </c>
      <c r="M629">
        <v>2008</v>
      </c>
      <c r="N629" t="s">
        <v>31</v>
      </c>
      <c r="O629" t="s">
        <v>75</v>
      </c>
      <c r="P629" t="s">
        <v>33</v>
      </c>
      <c r="Q629" t="s">
        <v>27</v>
      </c>
      <c r="R629" t="s">
        <v>39</v>
      </c>
    </row>
    <row r="630" spans="1:18">
      <c r="A630">
        <v>649</v>
      </c>
      <c r="B630" t="s">
        <v>112</v>
      </c>
      <c r="C630">
        <v>92</v>
      </c>
      <c r="D630">
        <v>155</v>
      </c>
      <c r="E630">
        <v>4.8</v>
      </c>
      <c r="F630" t="s">
        <v>105</v>
      </c>
      <c r="G630" t="s">
        <v>70</v>
      </c>
      <c r="H630" t="s">
        <v>71</v>
      </c>
      <c r="I630" t="s">
        <v>72</v>
      </c>
      <c r="J630" t="s">
        <v>73</v>
      </c>
      <c r="K630" t="s">
        <v>106</v>
      </c>
      <c r="L630">
        <v>500</v>
      </c>
      <c r="M630">
        <v>2012</v>
      </c>
      <c r="N630" t="s">
        <v>31</v>
      </c>
      <c r="O630" t="s">
        <v>37</v>
      </c>
      <c r="P630" t="s">
        <v>38</v>
      </c>
      <c r="Q630" t="s">
        <v>27</v>
      </c>
      <c r="R630" t="s">
        <v>39</v>
      </c>
    </row>
    <row r="631" spans="1:18">
      <c r="A631">
        <v>651</v>
      </c>
      <c r="B631" t="s">
        <v>18</v>
      </c>
      <c r="C631">
        <v>92</v>
      </c>
      <c r="D631">
        <v>155</v>
      </c>
      <c r="E631">
        <v>4</v>
      </c>
      <c r="F631" t="s">
        <v>329</v>
      </c>
      <c r="G631" t="s">
        <v>330</v>
      </c>
      <c r="H631" t="s">
        <v>331</v>
      </c>
      <c r="I631" t="s">
        <v>332</v>
      </c>
      <c r="J631" t="s">
        <v>333</v>
      </c>
      <c r="K631" t="s">
        <v>85</v>
      </c>
      <c r="M631">
        <v>1913</v>
      </c>
      <c r="N631" t="s">
        <v>50</v>
      </c>
      <c r="O631" t="s">
        <v>86</v>
      </c>
      <c r="P631" t="s">
        <v>86</v>
      </c>
      <c r="Q631" t="s">
        <v>87</v>
      </c>
      <c r="R631" t="s">
        <v>334</v>
      </c>
    </row>
    <row r="632" spans="1:18">
      <c r="A632">
        <v>652</v>
      </c>
      <c r="B632" t="s">
        <v>18</v>
      </c>
      <c r="C632">
        <v>105</v>
      </c>
      <c r="D632">
        <v>167</v>
      </c>
      <c r="E632">
        <v>3.8</v>
      </c>
      <c r="F632" t="s">
        <v>369</v>
      </c>
      <c r="G632" t="s">
        <v>370</v>
      </c>
      <c r="H632" t="s">
        <v>342</v>
      </c>
      <c r="I632" t="s">
        <v>343</v>
      </c>
      <c r="J632" t="s">
        <v>371</v>
      </c>
      <c r="K632" t="s">
        <v>30</v>
      </c>
      <c r="L632">
        <v>200</v>
      </c>
      <c r="M632">
        <v>2009</v>
      </c>
      <c r="N632" t="s">
        <v>31</v>
      </c>
      <c r="O632" t="s">
        <v>32</v>
      </c>
      <c r="P632" t="s">
        <v>33</v>
      </c>
      <c r="Q632" t="s">
        <v>140</v>
      </c>
      <c r="R632" t="s">
        <v>372</v>
      </c>
    </row>
    <row r="633" spans="1:18">
      <c r="A633">
        <v>653</v>
      </c>
      <c r="B633" t="s">
        <v>18</v>
      </c>
      <c r="C633">
        <v>105</v>
      </c>
      <c r="D633">
        <v>167</v>
      </c>
      <c r="E633">
        <v>3.8</v>
      </c>
      <c r="F633" t="s">
        <v>427</v>
      </c>
      <c r="G633" t="s">
        <v>428</v>
      </c>
      <c r="H633" t="s">
        <v>120</v>
      </c>
      <c r="I633" t="s">
        <v>121</v>
      </c>
      <c r="J633" t="s">
        <v>429</v>
      </c>
      <c r="K633" t="s">
        <v>49</v>
      </c>
      <c r="L633">
        <v>10000</v>
      </c>
      <c r="M633">
        <v>1996</v>
      </c>
      <c r="N633" t="s">
        <v>50</v>
      </c>
      <c r="O633" t="s">
        <v>430</v>
      </c>
      <c r="P633" t="s">
        <v>431</v>
      </c>
      <c r="Q633" t="s">
        <v>126</v>
      </c>
      <c r="R633" t="s">
        <v>39</v>
      </c>
    </row>
    <row r="634" spans="1:18">
      <c r="A634">
        <v>654</v>
      </c>
      <c r="B634" t="s">
        <v>18</v>
      </c>
      <c r="C634">
        <v>105</v>
      </c>
      <c r="D634">
        <v>167</v>
      </c>
      <c r="E634">
        <v>2.7</v>
      </c>
      <c r="F634" t="s">
        <v>1025</v>
      </c>
      <c r="G634" t="s">
        <v>1026</v>
      </c>
      <c r="H634" t="s">
        <v>331</v>
      </c>
      <c r="I634" t="s">
        <v>332</v>
      </c>
      <c r="J634" t="s">
        <v>66</v>
      </c>
      <c r="K634" t="s">
        <v>30</v>
      </c>
      <c r="L634">
        <v>200</v>
      </c>
      <c r="M634">
        <v>2010</v>
      </c>
      <c r="N634" t="s">
        <v>50</v>
      </c>
      <c r="O634" t="s">
        <v>96</v>
      </c>
      <c r="P634" t="s">
        <v>96</v>
      </c>
      <c r="Q634" t="s">
        <v>27</v>
      </c>
      <c r="R634" t="s">
        <v>39</v>
      </c>
    </row>
    <row r="635" spans="1:18">
      <c r="A635">
        <v>655</v>
      </c>
      <c r="B635" t="s">
        <v>18</v>
      </c>
      <c r="C635">
        <v>105</v>
      </c>
      <c r="D635">
        <v>167</v>
      </c>
      <c r="E635">
        <v>4</v>
      </c>
      <c r="F635" t="s">
        <v>1027</v>
      </c>
      <c r="G635" t="s">
        <v>145</v>
      </c>
      <c r="H635" t="s">
        <v>146</v>
      </c>
      <c r="I635" t="s">
        <v>147</v>
      </c>
      <c r="J635" t="s">
        <v>675</v>
      </c>
      <c r="K635" t="s">
        <v>30</v>
      </c>
      <c r="L635">
        <v>200</v>
      </c>
      <c r="M635">
        <v>-1</v>
      </c>
      <c r="N635" t="s">
        <v>31</v>
      </c>
      <c r="O635" t="s">
        <v>1028</v>
      </c>
      <c r="P635" t="s">
        <v>1029</v>
      </c>
      <c r="Q635" t="s">
        <v>359</v>
      </c>
      <c r="R635" t="s">
        <v>39</v>
      </c>
    </row>
    <row r="636" spans="1:18">
      <c r="A636">
        <v>658</v>
      </c>
      <c r="B636" t="s">
        <v>18</v>
      </c>
      <c r="C636">
        <v>105</v>
      </c>
      <c r="D636">
        <v>167</v>
      </c>
      <c r="E636">
        <v>3.8</v>
      </c>
      <c r="F636" t="s">
        <v>1030</v>
      </c>
      <c r="G636" t="s">
        <v>145</v>
      </c>
      <c r="H636" t="s">
        <v>146</v>
      </c>
      <c r="I636" t="s">
        <v>147</v>
      </c>
      <c r="J636" t="s">
        <v>524</v>
      </c>
      <c r="K636" t="s">
        <v>30</v>
      </c>
      <c r="L636">
        <v>200</v>
      </c>
      <c r="M636">
        <v>2010</v>
      </c>
      <c r="N636" t="s">
        <v>50</v>
      </c>
      <c r="O636" t="s">
        <v>98</v>
      </c>
      <c r="P636" t="s">
        <v>38</v>
      </c>
      <c r="Q636" t="s">
        <v>140</v>
      </c>
      <c r="R636" t="s">
        <v>39</v>
      </c>
    </row>
    <row r="637" spans="1:18">
      <c r="A637">
        <v>659</v>
      </c>
      <c r="B637" t="s">
        <v>18</v>
      </c>
      <c r="C637">
        <v>105</v>
      </c>
      <c r="D637">
        <v>167</v>
      </c>
      <c r="E637">
        <v>3.2</v>
      </c>
      <c r="F637" t="s">
        <v>838</v>
      </c>
      <c r="G637" t="s">
        <v>839</v>
      </c>
      <c r="H637" t="s">
        <v>331</v>
      </c>
      <c r="I637" t="s">
        <v>332</v>
      </c>
      <c r="J637" t="s">
        <v>66</v>
      </c>
      <c r="K637" t="s">
        <v>85</v>
      </c>
      <c r="M637">
        <v>2018</v>
      </c>
      <c r="N637" t="s">
        <v>50</v>
      </c>
      <c r="O637" t="s">
        <v>96</v>
      </c>
      <c r="P637" t="s">
        <v>96</v>
      </c>
      <c r="Q637" t="s">
        <v>27</v>
      </c>
      <c r="R637" t="s">
        <v>39</v>
      </c>
    </row>
    <row r="638" spans="1:18">
      <c r="A638">
        <v>661</v>
      </c>
      <c r="B638" t="s">
        <v>18</v>
      </c>
      <c r="C638">
        <v>105</v>
      </c>
      <c r="D638">
        <v>167</v>
      </c>
      <c r="E638">
        <v>3.6</v>
      </c>
      <c r="F638" t="s">
        <v>1142</v>
      </c>
      <c r="G638" t="s">
        <v>1143</v>
      </c>
      <c r="H638" t="s">
        <v>221</v>
      </c>
      <c r="I638" t="s">
        <v>222</v>
      </c>
      <c r="J638" t="s">
        <v>1144</v>
      </c>
      <c r="K638" t="s">
        <v>85</v>
      </c>
      <c r="M638">
        <v>-1</v>
      </c>
      <c r="N638" t="s">
        <v>50</v>
      </c>
      <c r="O638" t="s">
        <v>738</v>
      </c>
      <c r="P638" t="s">
        <v>92</v>
      </c>
      <c r="Q638" t="s">
        <v>27</v>
      </c>
      <c r="R638" t="s">
        <v>39</v>
      </c>
    </row>
    <row r="639" spans="1:18">
      <c r="A639">
        <v>662</v>
      </c>
      <c r="B639" t="s">
        <v>18</v>
      </c>
      <c r="C639">
        <v>105</v>
      </c>
      <c r="D639">
        <v>167</v>
      </c>
      <c r="E639">
        <v>4.4000000000000004</v>
      </c>
      <c r="F639" t="s">
        <v>835</v>
      </c>
      <c r="G639" t="s">
        <v>836</v>
      </c>
      <c r="H639" t="s">
        <v>244</v>
      </c>
      <c r="I639" t="s">
        <v>245</v>
      </c>
      <c r="J639" t="s">
        <v>837</v>
      </c>
      <c r="K639" t="s">
        <v>30</v>
      </c>
      <c r="L639">
        <v>200</v>
      </c>
      <c r="M639">
        <v>-1</v>
      </c>
      <c r="N639" t="s">
        <v>31</v>
      </c>
      <c r="O639" t="s">
        <v>39</v>
      </c>
      <c r="P639">
        <v>-1</v>
      </c>
      <c r="Q639" t="s">
        <v>27</v>
      </c>
      <c r="R639" t="s">
        <v>39</v>
      </c>
    </row>
    <row r="640" spans="1:18">
      <c r="A640">
        <v>663</v>
      </c>
      <c r="B640" t="s">
        <v>18</v>
      </c>
      <c r="C640">
        <v>105</v>
      </c>
      <c r="D640">
        <v>167</v>
      </c>
      <c r="E640">
        <v>4.0999999999999996</v>
      </c>
      <c r="F640" t="s">
        <v>1145</v>
      </c>
      <c r="G640" t="s">
        <v>792</v>
      </c>
      <c r="H640" t="s">
        <v>625</v>
      </c>
      <c r="I640" t="s">
        <v>626</v>
      </c>
      <c r="J640" t="s">
        <v>1146</v>
      </c>
      <c r="K640" t="s">
        <v>56</v>
      </c>
      <c r="L640">
        <v>1000</v>
      </c>
      <c r="M640">
        <v>2004</v>
      </c>
      <c r="N640" t="s">
        <v>31</v>
      </c>
      <c r="O640" t="s">
        <v>270</v>
      </c>
      <c r="P640" t="s">
        <v>33</v>
      </c>
      <c r="Q640" t="s">
        <v>27</v>
      </c>
      <c r="R640" t="s">
        <v>39</v>
      </c>
    </row>
    <row r="641" spans="1:18">
      <c r="A641">
        <v>664</v>
      </c>
      <c r="B641" t="s">
        <v>18</v>
      </c>
      <c r="C641">
        <v>105</v>
      </c>
      <c r="D641">
        <v>167</v>
      </c>
      <c r="E641">
        <v>-1</v>
      </c>
      <c r="F641" t="s">
        <v>1147</v>
      </c>
      <c r="G641" t="s">
        <v>1148</v>
      </c>
      <c r="H641" t="s">
        <v>46</v>
      </c>
      <c r="I641" t="s">
        <v>47</v>
      </c>
      <c r="J641" t="s">
        <v>619</v>
      </c>
      <c r="K641" t="s">
        <v>67</v>
      </c>
      <c r="L641">
        <v>50</v>
      </c>
      <c r="M641">
        <v>-1</v>
      </c>
      <c r="N641" t="s">
        <v>31</v>
      </c>
      <c r="O641" t="s">
        <v>39</v>
      </c>
      <c r="P641">
        <v>-1</v>
      </c>
      <c r="Q641" t="s">
        <v>27</v>
      </c>
      <c r="R641" t="s">
        <v>39</v>
      </c>
    </row>
    <row r="642" spans="1:18">
      <c r="A642">
        <v>665</v>
      </c>
      <c r="B642" t="s">
        <v>18</v>
      </c>
      <c r="C642">
        <v>105</v>
      </c>
      <c r="D642">
        <v>167</v>
      </c>
      <c r="E642">
        <v>3.8</v>
      </c>
      <c r="F642" t="s">
        <v>1149</v>
      </c>
      <c r="G642" t="s">
        <v>695</v>
      </c>
      <c r="H642" t="s">
        <v>46</v>
      </c>
      <c r="I642" t="s">
        <v>47</v>
      </c>
      <c r="J642" t="s">
        <v>251</v>
      </c>
      <c r="K642" t="s">
        <v>106</v>
      </c>
      <c r="L642">
        <v>500</v>
      </c>
      <c r="M642">
        <v>2005</v>
      </c>
      <c r="N642" t="s">
        <v>31</v>
      </c>
      <c r="O642" t="s">
        <v>98</v>
      </c>
      <c r="P642" t="s">
        <v>38</v>
      </c>
      <c r="Q642" t="s">
        <v>198</v>
      </c>
      <c r="R642" t="s">
        <v>39</v>
      </c>
    </row>
    <row r="643" spans="1:18">
      <c r="A643">
        <v>666</v>
      </c>
      <c r="B643" t="s">
        <v>18</v>
      </c>
      <c r="C643">
        <v>105</v>
      </c>
      <c r="D643">
        <v>167</v>
      </c>
      <c r="E643">
        <v>4</v>
      </c>
      <c r="F643" t="s">
        <v>1150</v>
      </c>
      <c r="G643" t="s">
        <v>70</v>
      </c>
      <c r="H643" t="s">
        <v>71</v>
      </c>
      <c r="I643" t="s">
        <v>72</v>
      </c>
      <c r="J643" t="s">
        <v>108</v>
      </c>
      <c r="K643" t="s">
        <v>23</v>
      </c>
      <c r="L643">
        <v>5000</v>
      </c>
      <c r="M643">
        <v>2010</v>
      </c>
      <c r="N643" t="s">
        <v>50</v>
      </c>
      <c r="O643" t="s">
        <v>86</v>
      </c>
      <c r="P643" t="s">
        <v>86</v>
      </c>
      <c r="Q643" t="s">
        <v>42</v>
      </c>
      <c r="R643" t="s">
        <v>1151</v>
      </c>
    </row>
    <row r="644" spans="1:18">
      <c r="A644">
        <v>667</v>
      </c>
      <c r="B644" t="s">
        <v>18</v>
      </c>
      <c r="C644">
        <v>105</v>
      </c>
      <c r="D644">
        <v>167</v>
      </c>
      <c r="E644">
        <v>3.6</v>
      </c>
      <c r="F644" t="s">
        <v>1152</v>
      </c>
      <c r="G644" t="s">
        <v>1153</v>
      </c>
      <c r="H644" t="s">
        <v>244</v>
      </c>
      <c r="I644" t="s">
        <v>245</v>
      </c>
      <c r="J644" t="s">
        <v>1154</v>
      </c>
      <c r="K644" t="s">
        <v>23</v>
      </c>
      <c r="L644">
        <v>5000</v>
      </c>
      <c r="M644">
        <v>1989</v>
      </c>
      <c r="N644" t="s">
        <v>31</v>
      </c>
      <c r="O644" t="s">
        <v>32</v>
      </c>
      <c r="P644" t="s">
        <v>33</v>
      </c>
      <c r="Q644" t="s">
        <v>27</v>
      </c>
      <c r="R644" t="s">
        <v>39</v>
      </c>
    </row>
    <row r="645" spans="1:18">
      <c r="A645">
        <v>670</v>
      </c>
      <c r="B645" t="s">
        <v>18</v>
      </c>
      <c r="C645">
        <v>105</v>
      </c>
      <c r="D645">
        <v>167</v>
      </c>
      <c r="E645">
        <v>5</v>
      </c>
      <c r="F645" t="s">
        <v>1155</v>
      </c>
      <c r="G645" t="s">
        <v>129</v>
      </c>
      <c r="H645" t="s">
        <v>120</v>
      </c>
      <c r="I645" t="s">
        <v>121</v>
      </c>
      <c r="J645" t="s">
        <v>248</v>
      </c>
      <c r="K645" t="s">
        <v>67</v>
      </c>
      <c r="L645">
        <v>50</v>
      </c>
      <c r="M645">
        <v>-1</v>
      </c>
      <c r="N645" t="s">
        <v>31</v>
      </c>
      <c r="O645" t="s">
        <v>32</v>
      </c>
      <c r="P645" t="s">
        <v>33</v>
      </c>
      <c r="Q645" t="s">
        <v>68</v>
      </c>
      <c r="R645" t="s">
        <v>39</v>
      </c>
    </row>
    <row r="646" spans="1:18">
      <c r="A646">
        <v>671</v>
      </c>
      <c r="B646" t="s">
        <v>18</v>
      </c>
      <c r="C646">
        <v>105</v>
      </c>
      <c r="D646">
        <v>167</v>
      </c>
      <c r="E646">
        <v>2.7</v>
      </c>
      <c r="F646" t="s">
        <v>1033</v>
      </c>
      <c r="G646" t="s">
        <v>20</v>
      </c>
      <c r="H646" t="s">
        <v>21</v>
      </c>
      <c r="I646" t="s">
        <v>20</v>
      </c>
      <c r="J646" t="s">
        <v>1034</v>
      </c>
      <c r="K646" t="s">
        <v>23</v>
      </c>
      <c r="L646">
        <v>5000</v>
      </c>
      <c r="M646">
        <v>1976</v>
      </c>
      <c r="N646" t="s">
        <v>50</v>
      </c>
      <c r="O646" t="s">
        <v>1035</v>
      </c>
      <c r="P646" t="s">
        <v>33</v>
      </c>
      <c r="Q646" t="s">
        <v>52</v>
      </c>
      <c r="R646" t="s">
        <v>39</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E17981-149E-4322-922A-F334A65244BA}">
  <sheetPr codeName="Sheet9"/>
  <dimension ref="A1:G62"/>
  <sheetViews>
    <sheetView workbookViewId="0">
      <selection activeCell="J31" sqref="J31"/>
    </sheetView>
  </sheetViews>
  <sheetFormatPr defaultRowHeight="15"/>
  <cols>
    <col min="1" max="1" width="18.7109375" bestFit="1" customWidth="1"/>
    <col min="2" max="3" width="18.28515625" bestFit="1" customWidth="1"/>
    <col min="4" max="4" width="20.28515625" bestFit="1" customWidth="1"/>
    <col min="5" max="5" width="33.28515625" bestFit="1" customWidth="1"/>
    <col min="6" max="6" width="18.42578125" customWidth="1"/>
    <col min="7" max="7" width="18.28515625" bestFit="1" customWidth="1"/>
    <col min="8" max="8" width="16.85546875" bestFit="1" customWidth="1"/>
    <col min="9" max="9" width="8.85546875" bestFit="1" customWidth="1"/>
    <col min="10" max="10" width="12.28515625" bestFit="1" customWidth="1"/>
    <col min="11" max="11" width="8.5703125" bestFit="1" customWidth="1"/>
    <col min="12" max="12" width="21.85546875" bestFit="1" customWidth="1"/>
    <col min="13" max="13" width="18.140625" bestFit="1" customWidth="1"/>
    <col min="14" max="14" width="20.85546875" bestFit="1" customWidth="1"/>
    <col min="15" max="15" width="14.42578125" bestFit="1" customWidth="1"/>
    <col min="16" max="16" width="30.42578125" bestFit="1" customWidth="1"/>
    <col min="17" max="17" width="9.28515625" bestFit="1" customWidth="1"/>
    <col min="18" max="18" width="11.28515625" bestFit="1" customWidth="1"/>
  </cols>
  <sheetData>
    <row r="1" spans="1:7">
      <c r="A1" s="1" t="s">
        <v>1188</v>
      </c>
      <c r="B1" s="3" t="s">
        <v>1189</v>
      </c>
      <c r="C1" s="3" t="s">
        <v>1190</v>
      </c>
      <c r="E1" s="1" t="s">
        <v>1188</v>
      </c>
      <c r="F1" t="s">
        <v>1201</v>
      </c>
      <c r="G1" t="s">
        <v>1202</v>
      </c>
    </row>
    <row r="2" spans="1:7">
      <c r="A2" s="2" t="s">
        <v>18</v>
      </c>
      <c r="B2" s="3">
        <v>99354.166666666657</v>
      </c>
      <c r="C2" s="3">
        <v>150967.59259259258</v>
      </c>
      <c r="E2" s="2" t="s">
        <v>917</v>
      </c>
      <c r="F2" s="3">
        <v>99666.666666666672</v>
      </c>
      <c r="G2" s="3">
        <v>149666.66666666666</v>
      </c>
    </row>
    <row r="3" spans="1:7">
      <c r="A3" s="2" t="s">
        <v>112</v>
      </c>
      <c r="B3" s="3">
        <v>103928.57142857142</v>
      </c>
      <c r="C3" s="3">
        <v>146750</v>
      </c>
      <c r="E3" s="2" t="s">
        <v>96</v>
      </c>
      <c r="F3" s="3">
        <v>108021.73913043478</v>
      </c>
      <c r="G3" s="3">
        <v>157369.5652173913</v>
      </c>
    </row>
    <row r="4" spans="1:7">
      <c r="A4" s="2" t="s">
        <v>99</v>
      </c>
      <c r="B4" s="3">
        <v>93531.914893617024</v>
      </c>
      <c r="C4" s="3">
        <v>142042.55319148937</v>
      </c>
      <c r="E4" s="2" t="s">
        <v>802</v>
      </c>
      <c r="F4" s="3">
        <v>75666.666666666672</v>
      </c>
      <c r="G4" s="3">
        <v>132000</v>
      </c>
    </row>
    <row r="5" spans="1:7">
      <c r="A5" s="2" t="s">
        <v>103</v>
      </c>
      <c r="B5" s="3">
        <v>92628.57142857142</v>
      </c>
      <c r="C5" s="3">
        <v>140942.85714285713</v>
      </c>
      <c r="E5" s="2" t="s">
        <v>86</v>
      </c>
      <c r="F5" s="3">
        <v>97954.545454545456</v>
      </c>
      <c r="G5" s="3">
        <v>147787.87878787878</v>
      </c>
    </row>
    <row r="6" spans="1:7">
      <c r="A6" s="2" t="s">
        <v>195</v>
      </c>
      <c r="B6" s="3">
        <v>94106.382978723399</v>
      </c>
      <c r="C6" s="3">
        <v>133510.63829787233</v>
      </c>
      <c r="E6" s="2" t="s">
        <v>33</v>
      </c>
      <c r="F6" s="3">
        <v>104566.66666666667</v>
      </c>
      <c r="G6" s="3">
        <v>155591.66666666666</v>
      </c>
    </row>
    <row r="7" spans="1:7">
      <c r="E7" s="2" t="s">
        <v>985</v>
      </c>
      <c r="F7" s="3">
        <v>55500</v>
      </c>
      <c r="G7" s="3">
        <v>94000</v>
      </c>
    </row>
    <row r="8" spans="1:7">
      <c r="A8" s="1" t="s">
        <v>1188</v>
      </c>
      <c r="B8" t="s">
        <v>1190</v>
      </c>
      <c r="E8" s="2" t="s">
        <v>1029</v>
      </c>
      <c r="F8" s="3">
        <v>158500</v>
      </c>
      <c r="G8" s="3">
        <v>249000</v>
      </c>
    </row>
    <row r="9" spans="1:7">
      <c r="A9" s="2" t="s">
        <v>1198</v>
      </c>
      <c r="B9" s="3">
        <v>151414.8148148148</v>
      </c>
      <c r="E9" s="2" t="s">
        <v>811</v>
      </c>
      <c r="F9" s="3">
        <v>95333.333333333328</v>
      </c>
      <c r="G9" s="3">
        <v>140333.33333333334</v>
      </c>
    </row>
    <row r="10" spans="1:7">
      <c r="A10" s="2" t="s">
        <v>1196</v>
      </c>
      <c r="B10" s="3">
        <v>149606.55737704918</v>
      </c>
      <c r="E10" s="2" t="s">
        <v>102</v>
      </c>
      <c r="F10" s="3">
        <v>91909.090909090912</v>
      </c>
      <c r="G10" s="3">
        <v>139090.90909090909</v>
      </c>
    </row>
    <row r="11" spans="1:7">
      <c r="A11" s="2" t="s">
        <v>85</v>
      </c>
      <c r="B11" s="3">
        <v>147550</v>
      </c>
      <c r="E11" s="2" t="s">
        <v>63</v>
      </c>
      <c r="F11" s="3">
        <v>108529.41176470587</v>
      </c>
      <c r="G11" s="3">
        <v>160411.76470588235</v>
      </c>
    </row>
    <row r="12" spans="1:7">
      <c r="A12" s="2" t="s">
        <v>1197</v>
      </c>
      <c r="B12" s="3">
        <v>146402.5974025974</v>
      </c>
      <c r="E12" s="2" t="s">
        <v>205</v>
      </c>
      <c r="F12" s="3">
        <v>97333.333333333328</v>
      </c>
      <c r="G12" s="3">
        <v>142190.47619047618</v>
      </c>
    </row>
    <row r="13" spans="1:7">
      <c r="A13" s="2" t="s">
        <v>1193</v>
      </c>
      <c r="B13" s="3">
        <v>146105.76923076922</v>
      </c>
      <c r="E13" s="2" t="s">
        <v>38</v>
      </c>
      <c r="F13" s="3">
        <v>95037.234042553202</v>
      </c>
      <c r="G13" s="3">
        <v>142781.91489361701</v>
      </c>
    </row>
    <row r="14" spans="1:7">
      <c r="A14" s="2" t="s">
        <v>1194</v>
      </c>
      <c r="B14" s="3">
        <v>144627.90697674418</v>
      </c>
      <c r="E14" s="2" t="s">
        <v>26</v>
      </c>
      <c r="F14" s="3">
        <v>88781.25</v>
      </c>
      <c r="G14" s="3">
        <v>133781.25</v>
      </c>
    </row>
    <row r="15" spans="1:7">
      <c r="A15" s="2" t="s">
        <v>1195</v>
      </c>
      <c r="B15" s="3">
        <v>143082.35294117648</v>
      </c>
      <c r="E15" s="2" t="s">
        <v>80</v>
      </c>
      <c r="F15" s="3">
        <v>100956.52173913043</v>
      </c>
      <c r="G15" s="3">
        <v>145521.73913043478</v>
      </c>
    </row>
    <row r="16" spans="1:7">
      <c r="A16" s="1" t="s">
        <v>1188</v>
      </c>
      <c r="B16" t="s">
        <v>1191</v>
      </c>
      <c r="E16" s="2" t="s">
        <v>402</v>
      </c>
      <c r="F16" s="3">
        <v>126400</v>
      </c>
      <c r="G16" s="3">
        <v>184200</v>
      </c>
    </row>
    <row r="17" spans="1:7">
      <c r="A17" s="2" t="s">
        <v>121</v>
      </c>
      <c r="B17">
        <v>148</v>
      </c>
      <c r="E17" s="2" t="s">
        <v>979</v>
      </c>
      <c r="F17" s="3">
        <v>31000</v>
      </c>
      <c r="G17" s="3">
        <v>56000</v>
      </c>
    </row>
    <row r="18" spans="1:7">
      <c r="A18" s="2" t="s">
        <v>47</v>
      </c>
      <c r="B18">
        <v>86</v>
      </c>
      <c r="E18" s="2" t="s">
        <v>182</v>
      </c>
      <c r="F18" s="3">
        <v>82800</v>
      </c>
      <c r="G18" s="3">
        <v>119800</v>
      </c>
    </row>
    <row r="19" spans="1:7">
      <c r="A19" s="2" t="s">
        <v>72</v>
      </c>
      <c r="B19">
        <v>61</v>
      </c>
      <c r="E19" s="2" t="s">
        <v>39</v>
      </c>
      <c r="F19" s="3">
        <v>100840.90909090909</v>
      </c>
      <c r="G19" s="3">
        <v>157113.63636363635</v>
      </c>
    </row>
    <row r="20" spans="1:7">
      <c r="A20" s="2" t="s">
        <v>20</v>
      </c>
      <c r="B20">
        <v>51</v>
      </c>
      <c r="E20" s="2" t="s">
        <v>500</v>
      </c>
      <c r="F20" s="3">
        <v>87666.666666666672</v>
      </c>
      <c r="G20" s="3">
        <v>146000</v>
      </c>
    </row>
    <row r="21" spans="1:7">
      <c r="A21" s="2" t="s">
        <v>332</v>
      </c>
      <c r="B21">
        <v>39</v>
      </c>
      <c r="E21" s="2" t="s">
        <v>92</v>
      </c>
      <c r="F21" s="3">
        <v>119857.14285714286</v>
      </c>
      <c r="G21" s="3">
        <v>180428.57142857142</v>
      </c>
    </row>
    <row r="22" spans="1:7">
      <c r="E22" s="2" t="s">
        <v>431</v>
      </c>
      <c r="F22" s="3">
        <v>90714.28571428571</v>
      </c>
      <c r="G22" s="3">
        <v>134000</v>
      </c>
    </row>
    <row r="23" spans="1:7">
      <c r="A23" s="1" t="s">
        <v>1188</v>
      </c>
      <c r="B23" t="s">
        <v>1191</v>
      </c>
      <c r="E23" s="2" t="s">
        <v>267</v>
      </c>
      <c r="F23" s="3">
        <v>92333.333333333328</v>
      </c>
      <c r="G23" s="3">
        <v>143166.66666666666</v>
      </c>
    </row>
    <row r="24" spans="1:7">
      <c r="A24" s="2" t="s">
        <v>504</v>
      </c>
      <c r="B24">
        <v>4</v>
      </c>
      <c r="E24" s="2" t="s">
        <v>743</v>
      </c>
      <c r="F24" s="3">
        <v>106333.33333333334</v>
      </c>
      <c r="G24" s="3">
        <v>151000</v>
      </c>
    </row>
    <row r="25" spans="1:7">
      <c r="A25" s="2" t="s">
        <v>116</v>
      </c>
      <c r="B25">
        <v>4</v>
      </c>
    </row>
    <row r="26" spans="1:7">
      <c r="A26" s="2" t="s">
        <v>121</v>
      </c>
      <c r="B26">
        <v>148</v>
      </c>
    </row>
    <row r="27" spans="1:7">
      <c r="A27" s="2" t="s">
        <v>343</v>
      </c>
      <c r="B27">
        <v>10</v>
      </c>
      <c r="E27" s="1" t="s">
        <v>1203</v>
      </c>
    </row>
    <row r="28" spans="1:7">
      <c r="A28" s="2" t="s">
        <v>609</v>
      </c>
      <c r="B28">
        <v>4</v>
      </c>
      <c r="E28" s="1" t="s">
        <v>15</v>
      </c>
      <c r="F28" t="s">
        <v>1204</v>
      </c>
    </row>
    <row r="29" spans="1:7">
      <c r="A29" s="2" t="s">
        <v>1014</v>
      </c>
      <c r="B29">
        <v>1</v>
      </c>
      <c r="E29" t="s">
        <v>38</v>
      </c>
      <c r="F29">
        <v>16</v>
      </c>
    </row>
    <row r="30" spans="1:7">
      <c r="A30" s="2" t="s">
        <v>147</v>
      </c>
      <c r="B30">
        <v>26</v>
      </c>
      <c r="E30" t="s">
        <v>33</v>
      </c>
      <c r="F30">
        <v>15</v>
      </c>
    </row>
    <row r="31" spans="1:7">
      <c r="A31" s="2" t="s">
        <v>164</v>
      </c>
      <c r="B31">
        <v>8</v>
      </c>
      <c r="E31" t="s">
        <v>102</v>
      </c>
      <c r="F31">
        <v>12</v>
      </c>
    </row>
    <row r="32" spans="1:7">
      <c r="A32" s="2" t="s">
        <v>169</v>
      </c>
      <c r="B32">
        <v>9</v>
      </c>
      <c r="E32" t="s">
        <v>26</v>
      </c>
      <c r="F32">
        <v>11</v>
      </c>
    </row>
    <row r="33" spans="1:6">
      <c r="A33" s="2" t="s">
        <v>154</v>
      </c>
      <c r="B33">
        <v>29</v>
      </c>
      <c r="E33" t="s">
        <v>205</v>
      </c>
      <c r="F33">
        <v>10</v>
      </c>
    </row>
    <row r="34" spans="1:6">
      <c r="A34" s="2" t="s">
        <v>274</v>
      </c>
      <c r="B34">
        <v>5</v>
      </c>
      <c r="E34" t="s">
        <v>86</v>
      </c>
      <c r="F34">
        <v>10</v>
      </c>
    </row>
    <row r="35" spans="1:6">
      <c r="A35" s="2" t="s">
        <v>565</v>
      </c>
      <c r="B35">
        <v>3</v>
      </c>
      <c r="E35" t="s">
        <v>96</v>
      </c>
      <c r="F35">
        <v>8</v>
      </c>
    </row>
    <row r="36" spans="1:6">
      <c r="A36" s="2" t="s">
        <v>203</v>
      </c>
      <c r="B36">
        <v>1</v>
      </c>
      <c r="E36" t="s">
        <v>39</v>
      </c>
      <c r="F36">
        <v>7</v>
      </c>
    </row>
    <row r="37" spans="1:6">
      <c r="A37" s="2" t="s">
        <v>255</v>
      </c>
      <c r="B37">
        <v>1</v>
      </c>
      <c r="E37" t="s">
        <v>80</v>
      </c>
      <c r="F37">
        <v>7</v>
      </c>
    </row>
    <row r="38" spans="1:6">
      <c r="A38" s="2" t="s">
        <v>332</v>
      </c>
      <c r="B38">
        <v>39</v>
      </c>
      <c r="E38" t="s">
        <v>63</v>
      </c>
      <c r="F38">
        <v>6</v>
      </c>
    </row>
    <row r="39" spans="1:6">
      <c r="A39" s="2" t="s">
        <v>72</v>
      </c>
      <c r="B39">
        <v>61</v>
      </c>
      <c r="E39" t="s">
        <v>182</v>
      </c>
      <c r="F39">
        <v>5</v>
      </c>
    </row>
    <row r="40" spans="1:6">
      <c r="A40" s="2" t="s">
        <v>467</v>
      </c>
      <c r="B40">
        <v>5</v>
      </c>
      <c r="E40" t="s">
        <v>431</v>
      </c>
      <c r="F40">
        <v>4</v>
      </c>
    </row>
    <row r="41" spans="1:6">
      <c r="A41" s="2" t="s">
        <v>579</v>
      </c>
      <c r="B41">
        <v>4</v>
      </c>
      <c r="E41" t="s">
        <v>267</v>
      </c>
      <c r="F41">
        <v>4</v>
      </c>
    </row>
    <row r="42" spans="1:6">
      <c r="A42" s="2" t="s">
        <v>495</v>
      </c>
      <c r="B42">
        <v>1</v>
      </c>
      <c r="E42" t="s">
        <v>402</v>
      </c>
      <c r="F42">
        <v>4</v>
      </c>
    </row>
    <row r="43" spans="1:6">
      <c r="A43" s="2" t="s">
        <v>174</v>
      </c>
      <c r="B43">
        <v>12</v>
      </c>
      <c r="E43" t="s">
        <v>92</v>
      </c>
      <c r="F43">
        <v>2</v>
      </c>
    </row>
    <row r="44" spans="1:6">
      <c r="A44" s="2" t="s">
        <v>235</v>
      </c>
      <c r="B44">
        <v>2</v>
      </c>
      <c r="E44" t="s">
        <v>500</v>
      </c>
      <c r="F44">
        <v>2</v>
      </c>
    </row>
    <row r="45" spans="1:6">
      <c r="A45" s="2" t="s">
        <v>240</v>
      </c>
      <c r="B45">
        <v>2</v>
      </c>
      <c r="E45" t="s">
        <v>802</v>
      </c>
      <c r="F45">
        <v>2</v>
      </c>
    </row>
    <row r="46" spans="1:6">
      <c r="A46" s="2" t="s">
        <v>245</v>
      </c>
      <c r="B46">
        <v>12</v>
      </c>
      <c r="E46" t="s">
        <v>811</v>
      </c>
      <c r="F46">
        <v>2</v>
      </c>
    </row>
    <row r="47" spans="1:6">
      <c r="A47" s="2" t="s">
        <v>20</v>
      </c>
      <c r="B47">
        <v>51</v>
      </c>
      <c r="E47" t="s">
        <v>985</v>
      </c>
      <c r="F47">
        <v>1</v>
      </c>
    </row>
    <row r="48" spans="1:6">
      <c r="A48" s="2" t="s">
        <v>626</v>
      </c>
      <c r="B48">
        <v>9</v>
      </c>
      <c r="E48" t="s">
        <v>1029</v>
      </c>
      <c r="F48">
        <v>1</v>
      </c>
    </row>
    <row r="49" spans="1:6">
      <c r="A49" s="2" t="s">
        <v>260</v>
      </c>
      <c r="B49">
        <v>14</v>
      </c>
      <c r="E49" t="s">
        <v>979</v>
      </c>
      <c r="F49">
        <v>1</v>
      </c>
    </row>
    <row r="50" spans="1:6">
      <c r="A50" s="2" t="s">
        <v>585</v>
      </c>
      <c r="B50">
        <v>6</v>
      </c>
      <c r="E50" t="s">
        <v>743</v>
      </c>
      <c r="F50">
        <v>1</v>
      </c>
    </row>
    <row r="51" spans="1:6">
      <c r="A51" s="2" t="s">
        <v>442</v>
      </c>
      <c r="B51">
        <v>2</v>
      </c>
      <c r="E51" t="s">
        <v>917</v>
      </c>
      <c r="F51">
        <v>1</v>
      </c>
    </row>
    <row r="52" spans="1:6">
      <c r="A52" s="2" t="s">
        <v>193</v>
      </c>
      <c r="B52">
        <v>17</v>
      </c>
    </row>
    <row r="53" spans="1:6">
      <c r="A53" s="2" t="s">
        <v>222</v>
      </c>
      <c r="B53">
        <v>12</v>
      </c>
    </row>
    <row r="54" spans="1:6">
      <c r="A54" s="2" t="s">
        <v>561</v>
      </c>
      <c r="B54">
        <v>2</v>
      </c>
    </row>
    <row r="55" spans="1:6">
      <c r="A55" s="2" t="s">
        <v>481</v>
      </c>
      <c r="B55">
        <v>2</v>
      </c>
    </row>
    <row r="56" spans="1:6">
      <c r="A56" s="2" t="s">
        <v>210</v>
      </c>
      <c r="B56">
        <v>8</v>
      </c>
    </row>
    <row r="57" spans="1:6">
      <c r="A57" s="2" t="s">
        <v>215</v>
      </c>
      <c r="B57">
        <v>18</v>
      </c>
    </row>
    <row r="58" spans="1:6">
      <c r="A58" s="2" t="s">
        <v>363</v>
      </c>
      <c r="B58">
        <v>5</v>
      </c>
    </row>
    <row r="59" spans="1:6">
      <c r="A59" s="2" t="s">
        <v>47</v>
      </c>
      <c r="B59">
        <v>86</v>
      </c>
    </row>
    <row r="60" spans="1:6">
      <c r="A60" s="2" t="s">
        <v>145</v>
      </c>
      <c r="B60">
        <v>15</v>
      </c>
    </row>
    <row r="61" spans="1:6">
      <c r="A61" s="2" t="s">
        <v>1123</v>
      </c>
      <c r="B61">
        <v>1</v>
      </c>
    </row>
    <row r="62" spans="1:6">
      <c r="A62" s="2" t="s">
        <v>227</v>
      </c>
      <c r="B62">
        <v>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755F02-7679-4FFE-84B8-47E5566B5047}">
  <sheetPr codeName="Sheet1"/>
  <dimension ref="A1:N215"/>
  <sheetViews>
    <sheetView showGridLines="0" tabSelected="1" topLeftCell="A49" zoomScale="68" zoomScaleNormal="68" workbookViewId="0">
      <selection activeCell="V84" sqref="V83:V84"/>
    </sheetView>
  </sheetViews>
  <sheetFormatPr defaultRowHeight="15"/>
  <cols>
    <col min="4" max="4" width="26.42578125" customWidth="1"/>
    <col min="5" max="5" width="26" customWidth="1"/>
    <col min="6" max="6" width="34.5703125" customWidth="1"/>
    <col min="12" max="12" width="11.28515625" hidden="1" customWidth="1"/>
    <col min="13" max="13" width="18.5703125" hidden="1" customWidth="1"/>
    <col min="14" max="14" width="0" hidden="1" customWidth="1"/>
  </cols>
  <sheetData>
    <row r="1" spans="1:11">
      <c r="A1" s="13" t="s">
        <v>1187</v>
      </c>
      <c r="B1" s="13"/>
      <c r="C1" s="13"/>
      <c r="D1" s="13"/>
      <c r="E1" s="13"/>
      <c r="F1" s="13"/>
      <c r="G1" s="13"/>
      <c r="H1" s="13"/>
      <c r="I1" s="13"/>
      <c r="J1" s="13"/>
      <c r="K1" s="13"/>
    </row>
    <row r="2" spans="1:11">
      <c r="A2" s="13"/>
      <c r="B2" s="13"/>
      <c r="C2" s="13"/>
      <c r="D2" s="13"/>
      <c r="E2" s="13"/>
      <c r="F2" s="13"/>
      <c r="G2" s="13"/>
      <c r="H2" s="13"/>
      <c r="I2" s="13"/>
      <c r="J2" s="13"/>
      <c r="K2" s="13"/>
    </row>
    <row r="76" spans="1:14">
      <c r="A76" s="7"/>
      <c r="B76" s="7"/>
      <c r="C76" s="7"/>
      <c r="D76" s="7"/>
      <c r="E76" s="7"/>
      <c r="F76" s="7"/>
      <c r="G76" s="7"/>
      <c r="H76" s="7"/>
      <c r="I76" s="7"/>
      <c r="J76" s="7"/>
      <c r="K76" s="7"/>
      <c r="L76" s="9" t="s">
        <v>1</v>
      </c>
      <c r="M76" s="9" t="s">
        <v>13</v>
      </c>
      <c r="N76" s="9" t="s">
        <v>15</v>
      </c>
    </row>
    <row r="77" spans="1:14">
      <c r="A77" s="7"/>
      <c r="B77" s="7"/>
      <c r="C77" s="7"/>
      <c r="D77" s="7"/>
      <c r="E77" s="7"/>
      <c r="F77" s="7"/>
      <c r="G77" s="7"/>
      <c r="H77" s="7"/>
      <c r="I77" s="7"/>
      <c r="J77" s="7"/>
      <c r="K77" s="7"/>
      <c r="L77" s="9" t="s">
        <v>18</v>
      </c>
      <c r="M77" s="9" t="s">
        <v>24</v>
      </c>
      <c r="N77" s="9" t="s">
        <v>26</v>
      </c>
    </row>
    <row r="78" spans="1:14">
      <c r="A78" s="7"/>
      <c r="B78" s="7"/>
      <c r="C78" s="7"/>
      <c r="D78" s="7"/>
      <c r="E78" s="7"/>
      <c r="F78" s="7"/>
      <c r="G78" s="7"/>
      <c r="H78" s="7"/>
      <c r="I78" s="7"/>
      <c r="J78" s="7"/>
      <c r="K78" s="7"/>
      <c r="L78" s="9" t="s">
        <v>18</v>
      </c>
      <c r="M78" s="9" t="s">
        <v>31</v>
      </c>
      <c r="N78" s="9" t="s">
        <v>33</v>
      </c>
    </row>
    <row r="79" spans="1:14">
      <c r="A79" s="7"/>
      <c r="B79" s="7"/>
      <c r="C79" s="7"/>
      <c r="D79" s="7"/>
      <c r="E79" s="7"/>
      <c r="F79" s="7"/>
      <c r="G79" s="7"/>
      <c r="H79" s="7"/>
      <c r="I79" s="7"/>
      <c r="J79" s="7"/>
      <c r="K79" s="7"/>
      <c r="L79" s="9" t="s">
        <v>18</v>
      </c>
      <c r="M79" s="9" t="s">
        <v>31</v>
      </c>
      <c r="N79" s="9" t="s">
        <v>38</v>
      </c>
    </row>
    <row r="80" spans="1:14">
      <c r="A80" s="7"/>
      <c r="B80" s="7"/>
      <c r="C80" s="7"/>
      <c r="D80" s="7"/>
      <c r="E80" s="7"/>
      <c r="F80" s="7"/>
      <c r="G80" s="7"/>
      <c r="H80" s="7"/>
      <c r="I80" s="7"/>
      <c r="J80" s="7"/>
      <c r="K80" s="7"/>
      <c r="L80" s="9" t="s">
        <v>18</v>
      </c>
      <c r="M80" s="9" t="s">
        <v>50</v>
      </c>
      <c r="N80" s="9" t="s">
        <v>33</v>
      </c>
    </row>
    <row r="81" spans="1:14">
      <c r="A81" s="7"/>
      <c r="B81" s="7"/>
      <c r="C81" s="7"/>
      <c r="D81" s="8" t="s">
        <v>192</v>
      </c>
      <c r="G81" s="7"/>
      <c r="H81" s="7"/>
      <c r="I81" s="7"/>
      <c r="J81" s="7"/>
      <c r="K81" s="7"/>
      <c r="L81" s="9" t="s">
        <v>18</v>
      </c>
      <c r="M81" s="9" t="s">
        <v>31</v>
      </c>
      <c r="N81" s="9" t="s">
        <v>63</v>
      </c>
    </row>
    <row r="82" spans="1:14">
      <c r="A82" s="7"/>
      <c r="B82" s="7"/>
      <c r="C82" s="7"/>
      <c r="D82" s="7"/>
      <c r="E82" s="7"/>
      <c r="F82" s="7"/>
      <c r="G82" s="7"/>
      <c r="H82" s="7"/>
      <c r="I82" s="7"/>
      <c r="J82" s="7"/>
      <c r="K82" s="7"/>
      <c r="L82" s="9" t="s">
        <v>18</v>
      </c>
      <c r="M82" s="9" t="s">
        <v>74</v>
      </c>
      <c r="N82" s="9" t="s">
        <v>33</v>
      </c>
    </row>
    <row r="83" spans="1:14">
      <c r="A83" s="7"/>
      <c r="B83" s="7"/>
      <c r="C83" s="7"/>
      <c r="D83" s="10" t="s">
        <v>1</v>
      </c>
      <c r="E83" s="11" t="s">
        <v>13</v>
      </c>
      <c r="F83" s="12" t="s">
        <v>15</v>
      </c>
      <c r="G83" s="7"/>
      <c r="H83" s="7"/>
      <c r="I83" s="7"/>
      <c r="J83" s="7"/>
      <c r="K83" s="7"/>
      <c r="L83" s="9" t="s">
        <v>18</v>
      </c>
      <c r="M83" s="9" t="s">
        <v>50</v>
      </c>
      <c r="N83" s="9" t="s">
        <v>80</v>
      </c>
    </row>
    <row r="84" spans="1:14">
      <c r="A84" s="7"/>
      <c r="B84" s="7"/>
      <c r="C84" s="7"/>
      <c r="D84" s="9" t="str" cm="1">
        <f t="array" ref="D84:F215">_xlfn._xlws.FILTER(Data[],ISNUMBER(SEARCH($D$81,Data[Role Type]))=TRUE,"No Match Found")</f>
        <v>Data Scientist</v>
      </c>
      <c r="E84" s="9" t="str">
        <v>Nonprofit Organization</v>
      </c>
      <c r="F84" s="9" t="str">
        <v>Insurance</v>
      </c>
      <c r="G84" s="7"/>
      <c r="H84" s="7"/>
      <c r="I84" s="7"/>
      <c r="J84" s="7"/>
      <c r="K84" s="7"/>
      <c r="L84" s="9" t="s">
        <v>18</v>
      </c>
      <c r="M84" s="9" t="s">
        <v>50</v>
      </c>
      <c r="N84" s="9" t="s">
        <v>86</v>
      </c>
    </row>
    <row r="85" spans="1:14">
      <c r="A85" s="7"/>
      <c r="B85" s="7"/>
      <c r="C85" s="7"/>
      <c r="D85" s="9" t="str">
        <v>Data Scientist</v>
      </c>
      <c r="E85" s="9" t="str">
        <v>Company - Private</v>
      </c>
      <c r="F85" s="9" t="str">
        <v>Business Services</v>
      </c>
      <c r="G85" s="7"/>
      <c r="H85" s="7"/>
      <c r="I85" s="7"/>
      <c r="J85" s="7"/>
      <c r="K85" s="7"/>
      <c r="L85" s="9" t="s">
        <v>18</v>
      </c>
      <c r="M85" s="9" t="s">
        <v>50</v>
      </c>
      <c r="N85" s="9" t="s">
        <v>92</v>
      </c>
    </row>
    <row r="86" spans="1:14">
      <c r="A86" s="7"/>
      <c r="B86" s="7"/>
      <c r="C86" s="7"/>
      <c r="D86" s="9" t="str">
        <v>Data Scientist</v>
      </c>
      <c r="E86" s="9" t="str">
        <v>Company - Private</v>
      </c>
      <c r="F86" s="9" t="str">
        <v>Information Technology</v>
      </c>
      <c r="G86" s="7"/>
      <c r="H86" s="7"/>
      <c r="I86" s="7"/>
      <c r="J86" s="7"/>
      <c r="K86" s="7"/>
      <c r="L86" s="9" t="s">
        <v>18</v>
      </c>
      <c r="M86" s="9" t="s">
        <v>24</v>
      </c>
      <c r="N86" s="9" t="s">
        <v>96</v>
      </c>
    </row>
    <row r="87" spans="1:14">
      <c r="A87" s="7"/>
      <c r="B87" s="7"/>
      <c r="C87" s="7"/>
      <c r="D87" s="9" t="str">
        <v>Data Scientist</v>
      </c>
      <c r="E87" s="9" t="str">
        <v>Company - Public</v>
      </c>
      <c r="F87" s="9" t="str">
        <v>Business Services</v>
      </c>
      <c r="G87" s="7"/>
      <c r="H87" s="7"/>
      <c r="I87" s="7"/>
      <c r="J87" s="7"/>
      <c r="K87" s="7"/>
      <c r="L87" s="9" t="s">
        <v>99</v>
      </c>
      <c r="M87" s="9" t="s">
        <v>31</v>
      </c>
      <c r="N87" s="9" t="s">
        <v>102</v>
      </c>
    </row>
    <row r="88" spans="1:14">
      <c r="A88" s="7"/>
      <c r="B88" s="7"/>
      <c r="C88" s="7"/>
      <c r="D88" s="9" t="str">
        <v>Data Scientist</v>
      </c>
      <c r="E88" s="9" t="str">
        <v>Company - Private</v>
      </c>
      <c r="F88" s="9" t="str">
        <v>Government</v>
      </c>
      <c r="G88" s="7"/>
      <c r="H88" s="7"/>
      <c r="I88" s="7"/>
      <c r="J88" s="7"/>
      <c r="K88" s="7"/>
      <c r="L88" s="9" t="s">
        <v>103</v>
      </c>
      <c r="M88" s="9" t="s">
        <v>50</v>
      </c>
      <c r="N88" s="9" t="s">
        <v>86</v>
      </c>
    </row>
    <row r="89" spans="1:14">
      <c r="A89" s="7"/>
      <c r="B89" s="7"/>
      <c r="C89" s="7"/>
      <c r="D89" s="9" t="str">
        <v>Data Scientist</v>
      </c>
      <c r="E89" s="9" t="str">
        <v>Private Practice / Firm</v>
      </c>
      <c r="F89" s="9" t="str">
        <v>Business Services</v>
      </c>
      <c r="G89" s="7"/>
      <c r="H89" s="7"/>
      <c r="I89" s="7"/>
      <c r="J89" s="7"/>
      <c r="K89" s="7"/>
      <c r="L89" s="9" t="s">
        <v>112</v>
      </c>
      <c r="M89" s="9" t="s">
        <v>50</v>
      </c>
      <c r="N89" s="9" t="s">
        <v>33</v>
      </c>
    </row>
    <row r="90" spans="1:14">
      <c r="A90" s="7"/>
      <c r="B90" s="7"/>
      <c r="C90" s="7"/>
      <c r="D90" s="9" t="str">
        <v>Data Scientist</v>
      </c>
      <c r="E90" s="9" t="str">
        <v>Company - Public</v>
      </c>
      <c r="F90" s="9" t="str">
        <v>Manufacturing</v>
      </c>
      <c r="G90" s="7"/>
      <c r="H90" s="7"/>
      <c r="I90" s="7"/>
      <c r="J90" s="7"/>
      <c r="K90" s="7"/>
      <c r="L90" s="9" t="s">
        <v>18</v>
      </c>
      <c r="M90" s="9" t="s">
        <v>50</v>
      </c>
      <c r="N90" s="9" t="s">
        <v>38</v>
      </c>
    </row>
    <row r="91" spans="1:14">
      <c r="A91" s="7"/>
      <c r="B91" s="7"/>
      <c r="C91" s="7"/>
      <c r="D91" s="9" t="str">
        <v>Data Scientist</v>
      </c>
      <c r="E91" s="9" t="str">
        <v>Company - Public</v>
      </c>
      <c r="F91" s="9" t="str">
        <v>Biotech &amp; Pharmaceuticals</v>
      </c>
      <c r="G91" s="7"/>
      <c r="H91" s="7"/>
      <c r="I91" s="7"/>
      <c r="J91" s="7"/>
      <c r="K91" s="7"/>
      <c r="L91" s="9" t="s">
        <v>112</v>
      </c>
      <c r="M91" s="9" t="s">
        <v>31</v>
      </c>
      <c r="N91" s="9" t="s">
        <v>86</v>
      </c>
    </row>
    <row r="92" spans="1:14">
      <c r="A92" s="7"/>
      <c r="B92" s="7"/>
      <c r="C92" s="7"/>
      <c r="D92" s="9" t="str">
        <v>Data Scientist</v>
      </c>
      <c r="E92" s="9" t="str">
        <v>Company - Public</v>
      </c>
      <c r="F92" s="9" t="str">
        <v>Retail</v>
      </c>
      <c r="G92" s="7"/>
      <c r="H92" s="7"/>
      <c r="I92" s="7"/>
      <c r="J92" s="7"/>
      <c r="K92" s="7"/>
      <c r="L92" s="9" t="s">
        <v>18</v>
      </c>
      <c r="M92" s="9" t="s">
        <v>63</v>
      </c>
      <c r="N92" s="9" t="s">
        <v>63</v>
      </c>
    </row>
    <row r="93" spans="1:14">
      <c r="A93" s="7"/>
      <c r="B93" s="7"/>
      <c r="C93" s="7"/>
      <c r="D93" s="9" t="str">
        <v>Data Scientist</v>
      </c>
      <c r="E93" s="9" t="str">
        <v>Nonprofit Organization</v>
      </c>
      <c r="F93" s="9" t="str">
        <v>Aerospace &amp; Defense</v>
      </c>
      <c r="G93" s="7"/>
      <c r="H93" s="7"/>
      <c r="I93" s="7"/>
      <c r="J93" s="7"/>
      <c r="K93" s="7"/>
      <c r="L93" s="9" t="s">
        <v>99</v>
      </c>
      <c r="M93" s="9" t="s">
        <v>31</v>
      </c>
      <c r="N93" s="9" t="s">
        <v>33</v>
      </c>
    </row>
    <row r="94" spans="1:14">
      <c r="A94" s="7"/>
      <c r="B94" s="7"/>
      <c r="C94" s="7"/>
      <c r="D94" s="9" t="str">
        <v>Data Analyst</v>
      </c>
      <c r="E94" s="9" t="str">
        <v>Company - Private</v>
      </c>
      <c r="F94" s="9" t="str">
        <v>Finance</v>
      </c>
      <c r="G94" s="7"/>
      <c r="H94" s="7"/>
      <c r="I94" s="7"/>
      <c r="J94" s="7"/>
      <c r="K94" s="7"/>
      <c r="L94" s="9" t="s">
        <v>112</v>
      </c>
      <c r="M94" s="9" t="s">
        <v>31</v>
      </c>
      <c r="N94" s="9" t="s">
        <v>80</v>
      </c>
    </row>
    <row r="95" spans="1:14">
      <c r="A95" s="7"/>
      <c r="B95" s="7"/>
      <c r="C95" s="7"/>
      <c r="D95" s="9" t="str">
        <v>Machine Learning Engineer</v>
      </c>
      <c r="E95" s="9" t="str">
        <v>Company - Public</v>
      </c>
      <c r="F95" s="9" t="str">
        <v>Biotech &amp; Pharmaceuticals</v>
      </c>
      <c r="G95" s="7"/>
      <c r="H95" s="7"/>
      <c r="I95" s="7"/>
      <c r="J95" s="7"/>
      <c r="K95" s="7"/>
      <c r="L95" s="9" t="s">
        <v>18</v>
      </c>
      <c r="M95" s="9" t="s">
        <v>31</v>
      </c>
      <c r="N95" s="9" t="s">
        <v>102</v>
      </c>
    </row>
    <row r="96" spans="1:14">
      <c r="A96" s="7"/>
      <c r="B96" s="7"/>
      <c r="C96" s="7"/>
      <c r="D96" s="9" t="str">
        <v>other</v>
      </c>
      <c r="E96" s="9" t="str">
        <v>Company - Public</v>
      </c>
      <c r="F96" s="9" t="str">
        <v>Business Services</v>
      </c>
      <c r="G96" s="7"/>
      <c r="H96" s="7"/>
      <c r="I96" s="7"/>
      <c r="J96" s="7"/>
      <c r="K96" s="7"/>
      <c r="L96" s="9" t="s">
        <v>18</v>
      </c>
      <c r="M96" s="9" t="s">
        <v>63</v>
      </c>
      <c r="N96" s="9" t="s">
        <v>182</v>
      </c>
    </row>
    <row r="97" spans="1:14">
      <c r="A97" s="7"/>
      <c r="B97" s="7"/>
      <c r="C97" s="7"/>
      <c r="D97" s="9" t="str">
        <v>Data Scientist</v>
      </c>
      <c r="E97" s="9" t="str">
        <v>Company - Public</v>
      </c>
      <c r="F97" s="9" t="str">
        <v>Information Technology</v>
      </c>
      <c r="G97" s="7"/>
      <c r="H97" s="7"/>
      <c r="I97" s="7"/>
      <c r="J97" s="7"/>
      <c r="K97" s="7"/>
      <c r="L97" s="9" t="s">
        <v>18</v>
      </c>
      <c r="M97" s="9" t="s">
        <v>31</v>
      </c>
      <c r="N97" s="9" t="s">
        <v>182</v>
      </c>
    </row>
    <row r="98" spans="1:14">
      <c r="A98" s="7"/>
      <c r="B98" s="7"/>
      <c r="C98" s="7"/>
      <c r="D98" s="9" t="str">
        <v>other</v>
      </c>
      <c r="E98" s="9" t="str">
        <v>Company - Private</v>
      </c>
      <c r="F98" s="9" t="str">
        <v>Biotech &amp; Pharmaceuticals</v>
      </c>
      <c r="G98" s="7"/>
      <c r="H98" s="7"/>
      <c r="I98" s="7"/>
      <c r="J98" s="7"/>
      <c r="K98" s="7"/>
      <c r="L98" s="9" t="s">
        <v>195</v>
      </c>
      <c r="M98" s="9" t="s">
        <v>31</v>
      </c>
      <c r="N98" s="9" t="s">
        <v>38</v>
      </c>
    </row>
    <row r="99" spans="1:14">
      <c r="A99" s="7"/>
      <c r="B99" s="7"/>
      <c r="C99" s="7"/>
      <c r="D99" s="9" t="str">
        <v>Data Scientist</v>
      </c>
      <c r="E99" s="9" t="str">
        <v>Government</v>
      </c>
      <c r="F99" s="9" t="str">
        <v>Government</v>
      </c>
      <c r="G99" s="7"/>
      <c r="H99" s="7"/>
      <c r="I99" s="7"/>
      <c r="J99" s="7"/>
      <c r="K99" s="7"/>
      <c r="L99" s="9" t="s">
        <v>18</v>
      </c>
      <c r="M99" s="9" t="s">
        <v>31</v>
      </c>
      <c r="N99" s="9" t="s">
        <v>205</v>
      </c>
    </row>
    <row r="100" spans="1:14">
      <c r="A100" s="7"/>
      <c r="B100" s="7"/>
      <c r="C100" s="7"/>
      <c r="D100" s="9" t="str">
        <v>Data Analyst</v>
      </c>
      <c r="E100" s="9" t="str">
        <v>Company - Private</v>
      </c>
      <c r="F100" s="9" t="str">
        <v>Business Services</v>
      </c>
      <c r="G100" s="7"/>
      <c r="H100" s="7"/>
      <c r="I100" s="7"/>
      <c r="J100" s="7"/>
      <c r="K100" s="7"/>
      <c r="L100" s="9" t="s">
        <v>18</v>
      </c>
      <c r="M100" s="9" t="s">
        <v>31</v>
      </c>
      <c r="N100" s="9" t="s">
        <v>80</v>
      </c>
    </row>
    <row r="101" spans="1:14">
      <c r="A101" s="7"/>
      <c r="B101" s="7"/>
      <c r="C101" s="7"/>
      <c r="D101" s="9" t="str">
        <v>other</v>
      </c>
      <c r="E101" s="9" t="str">
        <v>Company - Private</v>
      </c>
      <c r="F101" s="9" t="str">
        <v>Manufacturing</v>
      </c>
      <c r="G101" s="7"/>
      <c r="H101" s="7"/>
      <c r="I101" s="7"/>
      <c r="J101" s="7"/>
      <c r="K101" s="7"/>
      <c r="L101" s="9" t="s">
        <v>99</v>
      </c>
      <c r="M101" s="9" t="s">
        <v>50</v>
      </c>
      <c r="N101" s="9" t="s">
        <v>38</v>
      </c>
    </row>
    <row r="102" spans="1:14">
      <c r="A102" s="7"/>
      <c r="B102" s="7"/>
      <c r="C102" s="7"/>
      <c r="D102" s="9" t="str">
        <v>Data Scientist</v>
      </c>
      <c r="E102" s="9" t="str">
        <v>Company - Private</v>
      </c>
      <c r="F102" s="9" t="str">
        <v>Finance</v>
      </c>
      <c r="G102" s="7"/>
      <c r="H102" s="7"/>
      <c r="I102" s="7"/>
      <c r="J102" s="7"/>
      <c r="K102" s="7"/>
      <c r="L102" s="9" t="s">
        <v>112</v>
      </c>
      <c r="M102" s="9" t="s">
        <v>24</v>
      </c>
      <c r="N102" s="9" t="s">
        <v>205</v>
      </c>
    </row>
    <row r="103" spans="1:14">
      <c r="A103" s="7"/>
      <c r="B103" s="7"/>
      <c r="C103" s="7"/>
      <c r="D103" s="9" t="str">
        <v>Data Scientist</v>
      </c>
      <c r="E103" s="9" t="str">
        <v>Government</v>
      </c>
      <c r="F103" s="9" t="str">
        <v>Oil, Gas, Energy &amp; Utilities</v>
      </c>
      <c r="G103" s="7"/>
      <c r="H103" s="7"/>
      <c r="I103" s="7"/>
      <c r="J103" s="7"/>
      <c r="K103" s="7"/>
      <c r="L103" s="9" t="s">
        <v>112</v>
      </c>
      <c r="M103" s="9" t="s">
        <v>31</v>
      </c>
      <c r="N103" s="9" t="s">
        <v>26</v>
      </c>
    </row>
    <row r="104" spans="1:14">
      <c r="A104" s="7"/>
      <c r="B104" s="7"/>
      <c r="C104" s="7"/>
      <c r="D104" s="9" t="str">
        <v>Data Scientist</v>
      </c>
      <c r="E104" s="9" t="str">
        <v>Company - Private</v>
      </c>
      <c r="F104" s="9" t="str">
        <v>Oil, Gas, Energy &amp; Utilities</v>
      </c>
      <c r="G104" s="7"/>
      <c r="H104" s="7"/>
      <c r="I104" s="7"/>
      <c r="J104" s="7"/>
      <c r="K104" s="7"/>
      <c r="L104" s="9" t="s">
        <v>18</v>
      </c>
      <c r="M104" s="9" t="s">
        <v>31</v>
      </c>
      <c r="N104" s="9" t="s">
        <v>26</v>
      </c>
    </row>
    <row r="105" spans="1:14">
      <c r="A105" s="7"/>
      <c r="B105" s="7"/>
      <c r="C105" s="7"/>
      <c r="D105" s="9" t="str">
        <v>Data Engineer</v>
      </c>
      <c r="E105" s="9" t="str">
        <v>Company - Private</v>
      </c>
      <c r="F105" s="9" t="str">
        <v>Information Technology</v>
      </c>
      <c r="G105" s="7"/>
      <c r="H105" s="7"/>
      <c r="I105" s="7"/>
      <c r="J105" s="7"/>
      <c r="K105" s="7"/>
      <c r="L105" s="9" t="s">
        <v>112</v>
      </c>
      <c r="M105" s="9" t="s">
        <v>31</v>
      </c>
      <c r="N105" s="9" t="s">
        <v>38</v>
      </c>
    </row>
    <row r="106" spans="1:14">
      <c r="A106" s="7"/>
      <c r="B106" s="7"/>
      <c r="C106" s="7"/>
      <c r="D106" s="9" t="str">
        <v>Data Scientist</v>
      </c>
      <c r="E106" s="9" t="str">
        <v>Company - Private</v>
      </c>
      <c r="F106" s="9" t="str">
        <v>Health Care</v>
      </c>
      <c r="G106" s="7"/>
      <c r="H106" s="7"/>
      <c r="I106" s="7"/>
      <c r="J106" s="7"/>
      <c r="K106" s="7"/>
      <c r="L106" s="9" t="s">
        <v>103</v>
      </c>
      <c r="M106" s="9" t="s">
        <v>31</v>
      </c>
      <c r="N106" s="9" t="s">
        <v>26</v>
      </c>
    </row>
    <row r="107" spans="1:14">
      <c r="A107" s="7"/>
      <c r="B107" s="7"/>
      <c r="C107" s="7"/>
      <c r="D107" s="9" t="str">
        <v>Data Scientist</v>
      </c>
      <c r="E107" s="9" t="str">
        <v>Company - Private</v>
      </c>
      <c r="F107" s="9" t="str">
        <v>Manufacturing</v>
      </c>
      <c r="G107" s="7"/>
      <c r="H107" s="7"/>
      <c r="I107" s="7"/>
      <c r="J107" s="7"/>
      <c r="K107" s="7"/>
      <c r="L107" s="9" t="s">
        <v>99</v>
      </c>
      <c r="M107" s="9" t="s">
        <v>31</v>
      </c>
      <c r="N107" s="9" t="s">
        <v>39</v>
      </c>
    </row>
    <row r="108" spans="1:14">
      <c r="D108" s="9" t="str">
        <v>Data Analyst</v>
      </c>
      <c r="E108" s="9" t="str">
        <v>Company - Public</v>
      </c>
      <c r="F108" s="9" t="str">
        <v>Information Technology</v>
      </c>
      <c r="L108" s="9" t="s">
        <v>99</v>
      </c>
      <c r="M108" s="9" t="s">
        <v>31</v>
      </c>
      <c r="N108" s="9" t="s">
        <v>38</v>
      </c>
    </row>
    <row r="109" spans="1:14">
      <c r="D109" s="9" t="str">
        <v>other</v>
      </c>
      <c r="E109" s="9" t="str">
        <v>Nonprofit Organization</v>
      </c>
      <c r="F109" s="9" t="str">
        <v>Health Care</v>
      </c>
      <c r="L109" s="9" t="s">
        <v>18</v>
      </c>
      <c r="M109" s="9" t="s">
        <v>31</v>
      </c>
      <c r="N109" s="9" t="s">
        <v>86</v>
      </c>
    </row>
    <row r="110" spans="1:14">
      <c r="D110" s="9" t="str">
        <v>other</v>
      </c>
      <c r="E110" s="9" t="str">
        <v>Company - Private</v>
      </c>
      <c r="F110" s="9" t="str">
        <v>Insurance</v>
      </c>
      <c r="L110" s="9" t="s">
        <v>18</v>
      </c>
      <c r="M110" s="9" t="s">
        <v>31</v>
      </c>
      <c r="N110" s="9" t="s">
        <v>267</v>
      </c>
    </row>
    <row r="111" spans="1:14">
      <c r="D111" s="9" t="str">
        <v>Data Scientist</v>
      </c>
      <c r="E111" s="9" t="str">
        <v>Company - Private</v>
      </c>
      <c r="F111" s="9" t="str">
        <v>Insurance</v>
      </c>
      <c r="L111" s="9" t="s">
        <v>99</v>
      </c>
      <c r="M111" s="9" t="s">
        <v>50</v>
      </c>
      <c r="N111" s="9" t="s">
        <v>26</v>
      </c>
    </row>
    <row r="112" spans="1:14">
      <c r="D112" s="9" t="str">
        <v>other</v>
      </c>
      <c r="E112" s="9" t="str">
        <v>Company - Private</v>
      </c>
      <c r="F112" s="9" t="str">
        <v>Information Technology</v>
      </c>
      <c r="L112" s="9" t="s">
        <v>103</v>
      </c>
      <c r="M112" s="9" t="s">
        <v>31</v>
      </c>
      <c r="N112" s="9" t="s">
        <v>96</v>
      </c>
    </row>
    <row r="113" spans="4:14">
      <c r="D113" s="9" t="str">
        <v>Machine Learning Engineer</v>
      </c>
      <c r="E113" s="9" t="str">
        <v>Company - Private</v>
      </c>
      <c r="F113" s="9" t="str">
        <v>Insurance</v>
      </c>
      <c r="L113" s="9" t="s">
        <v>99</v>
      </c>
      <c r="M113" s="9" t="s">
        <v>284</v>
      </c>
      <c r="N113" s="9" t="s">
        <v>80</v>
      </c>
    </row>
    <row r="114" spans="4:14">
      <c r="D114" s="9" t="str">
        <v>Data Analyst</v>
      </c>
      <c r="E114" s="9" t="str">
        <v>Company - Private</v>
      </c>
      <c r="F114" s="9" t="str">
        <v>Others</v>
      </c>
      <c r="L114" s="9" t="s">
        <v>195</v>
      </c>
      <c r="M114" s="9" t="s">
        <v>31</v>
      </c>
      <c r="N114" s="9" t="s">
        <v>102</v>
      </c>
    </row>
    <row r="115" spans="4:14">
      <c r="D115" s="9" t="str">
        <v>Data Analyst</v>
      </c>
      <c r="E115" s="9" t="str">
        <v>Company - Private</v>
      </c>
      <c r="F115" s="9" t="str">
        <v>Information Technology</v>
      </c>
      <c r="L115" s="9" t="s">
        <v>103</v>
      </c>
      <c r="M115" s="9" t="s">
        <v>31</v>
      </c>
      <c r="N115" s="9" t="s">
        <v>86</v>
      </c>
    </row>
    <row r="116" spans="4:14">
      <c r="D116" s="9" t="str">
        <v>Data Scientist</v>
      </c>
      <c r="E116" s="9" t="str">
        <v>Company - Private</v>
      </c>
      <c r="F116" s="9" t="str">
        <v>Biotech &amp; Pharmaceuticals</v>
      </c>
      <c r="L116" s="9" t="s">
        <v>195</v>
      </c>
      <c r="M116" s="9" t="s">
        <v>50</v>
      </c>
      <c r="N116" s="9" t="s">
        <v>33</v>
      </c>
    </row>
    <row r="117" spans="4:14">
      <c r="D117" s="9" t="str">
        <v>Data Scientist</v>
      </c>
      <c r="E117" s="9" t="str">
        <v>Company - Private</v>
      </c>
      <c r="F117" s="9" t="str">
        <v>Transportation &amp; Logistics</v>
      </c>
      <c r="L117" s="9" t="s">
        <v>99</v>
      </c>
      <c r="M117" s="9" t="s">
        <v>50</v>
      </c>
      <c r="N117" s="9" t="s">
        <v>80</v>
      </c>
    </row>
    <row r="118" spans="4:14">
      <c r="D118" s="9" t="str">
        <v>Data Analyst</v>
      </c>
      <c r="E118" s="9" t="str">
        <v>Company - Public</v>
      </c>
      <c r="F118" s="9" t="str">
        <v>Insurance</v>
      </c>
      <c r="L118" s="9" t="s">
        <v>99</v>
      </c>
      <c r="M118" s="9" t="s">
        <v>284</v>
      </c>
      <c r="N118" s="9" t="s">
        <v>26</v>
      </c>
    </row>
    <row r="119" spans="4:14">
      <c r="D119" s="9" t="str">
        <v>Machine Learning Engineer</v>
      </c>
      <c r="E119" s="9" t="str">
        <v>Company - Private</v>
      </c>
      <c r="F119" s="9" t="str">
        <v>Aerospace &amp; Defense</v>
      </c>
      <c r="L119" s="9" t="s">
        <v>195</v>
      </c>
      <c r="M119" s="9" t="s">
        <v>24</v>
      </c>
      <c r="N119" s="9" t="s">
        <v>26</v>
      </c>
    </row>
    <row r="120" spans="4:14">
      <c r="D120" s="9" t="str">
        <v>Data Analyst</v>
      </c>
      <c r="E120" s="9" t="str">
        <v>Subsidiary or Business Segment</v>
      </c>
      <c r="F120" s="9" t="str">
        <v>Manufacturing</v>
      </c>
      <c r="L120" s="9" t="s">
        <v>195</v>
      </c>
      <c r="M120" s="9" t="s">
        <v>31</v>
      </c>
      <c r="N120" s="9" t="s">
        <v>33</v>
      </c>
    </row>
    <row r="121" spans="4:14">
      <c r="D121" s="9" t="str">
        <v>Data Engineer</v>
      </c>
      <c r="E121" s="9" t="str">
        <v>Company - Private</v>
      </c>
      <c r="F121" s="9" t="str">
        <v>Finance</v>
      </c>
      <c r="L121" s="9" t="s">
        <v>99</v>
      </c>
      <c r="M121" s="9" t="s">
        <v>24</v>
      </c>
      <c r="N121" s="9" t="s">
        <v>205</v>
      </c>
    </row>
    <row r="122" spans="4:14">
      <c r="D122" s="9" t="str">
        <v>Machine Learning Engineer</v>
      </c>
      <c r="E122" s="9" t="str">
        <v>Company - Private</v>
      </c>
      <c r="F122" s="9" t="str">
        <v>Biotech &amp; Pharmaceuticals</v>
      </c>
      <c r="L122" s="9" t="s">
        <v>103</v>
      </c>
      <c r="M122" s="9" t="s">
        <v>31</v>
      </c>
      <c r="N122" s="9" t="s">
        <v>38</v>
      </c>
    </row>
    <row r="123" spans="4:14">
      <c r="D123" s="9" t="str">
        <v>Data Engineer</v>
      </c>
      <c r="E123" s="9" t="str">
        <v>Company - Public</v>
      </c>
      <c r="F123" s="9" t="str">
        <v>Business Services</v>
      </c>
      <c r="L123" s="9" t="s">
        <v>18</v>
      </c>
      <c r="M123" s="9" t="s">
        <v>374</v>
      </c>
      <c r="N123" s="9" t="s">
        <v>102</v>
      </c>
    </row>
    <row r="124" spans="4:14">
      <c r="D124" s="9" t="str">
        <v>Data Analyst</v>
      </c>
      <c r="E124" s="9" t="str">
        <v>Company - Public</v>
      </c>
      <c r="F124" s="9" t="str">
        <v>Manufacturing</v>
      </c>
      <c r="L124" s="9" t="s">
        <v>18</v>
      </c>
      <c r="M124" s="9" t="s">
        <v>31</v>
      </c>
      <c r="N124" s="9" t="s">
        <v>96</v>
      </c>
    </row>
    <row r="125" spans="4:14">
      <c r="D125" s="9" t="str">
        <v>Data Analyst</v>
      </c>
      <c r="E125" s="9" t="str">
        <v>Subsidiary or Business Segment</v>
      </c>
      <c r="F125" s="9" t="str">
        <v>Insurance</v>
      </c>
      <c r="L125" s="9" t="s">
        <v>195</v>
      </c>
      <c r="M125" s="9" t="s">
        <v>50</v>
      </c>
      <c r="N125" s="9" t="s">
        <v>205</v>
      </c>
    </row>
    <row r="126" spans="4:14">
      <c r="D126" s="9" t="str">
        <v>Data Engineer</v>
      </c>
      <c r="E126" s="9" t="str">
        <v>Nonprofit Organization</v>
      </c>
      <c r="F126" s="9" t="str">
        <v>Insurance</v>
      </c>
      <c r="L126" s="9" t="s">
        <v>195</v>
      </c>
      <c r="M126" s="9" t="s">
        <v>31</v>
      </c>
      <c r="N126" s="9" t="s">
        <v>86</v>
      </c>
    </row>
    <row r="127" spans="4:14">
      <c r="D127" s="9" t="str">
        <v>Data Engineer</v>
      </c>
      <c r="E127" s="9" t="str">
        <v>Company - Private</v>
      </c>
      <c r="F127" s="9" t="str">
        <v>Business Services</v>
      </c>
      <c r="L127" s="9" t="s">
        <v>99</v>
      </c>
      <c r="M127" s="9" t="s">
        <v>50</v>
      </c>
      <c r="N127" s="9" t="s">
        <v>102</v>
      </c>
    </row>
    <row r="128" spans="4:14">
      <c r="D128" s="9" t="str">
        <v>Data Analyst</v>
      </c>
      <c r="E128" s="9" t="str">
        <v>Nonprofit Organization</v>
      </c>
      <c r="F128" s="9" t="str">
        <v>Health Care</v>
      </c>
      <c r="L128" s="9" t="s">
        <v>99</v>
      </c>
      <c r="M128" s="9" t="s">
        <v>284</v>
      </c>
      <c r="N128" s="9" t="s">
        <v>402</v>
      </c>
    </row>
    <row r="129" spans="4:14">
      <c r="D129" s="9" t="str">
        <v>Machine Learning Engineer</v>
      </c>
      <c r="E129" s="9" t="str">
        <v>Company - Private</v>
      </c>
      <c r="F129" s="9" t="str">
        <v>Information Technology</v>
      </c>
      <c r="L129" s="9" t="s">
        <v>18</v>
      </c>
      <c r="M129" s="9" t="s">
        <v>50</v>
      </c>
      <c r="N129" s="9" t="s">
        <v>96</v>
      </c>
    </row>
    <row r="130" spans="4:14">
      <c r="D130" s="9" t="str">
        <v>Data Scientist</v>
      </c>
      <c r="E130" s="9" t="str">
        <v>Other Organization</v>
      </c>
      <c r="F130" s="9" t="str">
        <v>Finance</v>
      </c>
      <c r="L130" s="9" t="s">
        <v>18</v>
      </c>
      <c r="M130" s="9" t="s">
        <v>24</v>
      </c>
      <c r="N130" s="9" t="s">
        <v>33</v>
      </c>
    </row>
    <row r="131" spans="4:14">
      <c r="D131" s="9" t="str">
        <v>Data Scientist</v>
      </c>
      <c r="E131" s="9" t="str">
        <v>Company - Private</v>
      </c>
      <c r="F131" s="9" t="str">
        <v>Aerospace &amp; Defense</v>
      </c>
      <c r="L131" s="9" t="s">
        <v>195</v>
      </c>
      <c r="M131" s="9" t="s">
        <v>31</v>
      </c>
      <c r="N131" s="9" t="s">
        <v>205</v>
      </c>
    </row>
    <row r="132" spans="4:14">
      <c r="D132" s="9" t="str">
        <v>Data Engineer</v>
      </c>
      <c r="E132" s="9" t="str">
        <v>Company - Public</v>
      </c>
      <c r="F132" s="9" t="str">
        <v>Health Care</v>
      </c>
      <c r="L132" s="9" t="s">
        <v>112</v>
      </c>
      <c r="M132" s="9" t="s">
        <v>31</v>
      </c>
      <c r="N132" s="9" t="s">
        <v>267</v>
      </c>
    </row>
    <row r="133" spans="4:14">
      <c r="D133" s="9" t="str">
        <v>Data Engineer</v>
      </c>
      <c r="E133" s="9" t="str">
        <v>Company - Private</v>
      </c>
      <c r="F133" s="9" t="str">
        <v>Biotech &amp; Pharmaceuticals</v>
      </c>
      <c r="L133" s="9" t="s">
        <v>18</v>
      </c>
      <c r="M133" s="9" t="s">
        <v>50</v>
      </c>
      <c r="N133" s="9" t="s">
        <v>431</v>
      </c>
    </row>
    <row r="134" spans="4:14">
      <c r="D134" s="9" t="str">
        <v>Data Analyst</v>
      </c>
      <c r="E134" s="9" t="str">
        <v>Company - Public</v>
      </c>
      <c r="F134" s="9" t="str">
        <v>Finance</v>
      </c>
      <c r="L134" s="9" t="s">
        <v>195</v>
      </c>
      <c r="M134" s="9" t="s">
        <v>31</v>
      </c>
      <c r="N134" s="9" t="s">
        <v>402</v>
      </c>
    </row>
    <row r="135" spans="4:14">
      <c r="D135" s="9" t="str">
        <v>Data Analyst</v>
      </c>
      <c r="E135" s="9" t="str">
        <v>Subsidiary or Business Segment</v>
      </c>
      <c r="F135" s="9" t="str">
        <v>Media</v>
      </c>
      <c r="L135" s="9" t="s">
        <v>112</v>
      </c>
      <c r="M135" s="9" t="s">
        <v>24</v>
      </c>
      <c r="N135" s="9" t="s">
        <v>182</v>
      </c>
    </row>
    <row r="136" spans="4:14">
      <c r="D136" s="9" t="str">
        <v>Data Scientist</v>
      </c>
      <c r="E136" s="9" t="str">
        <v>Company - Public</v>
      </c>
      <c r="F136" s="9" t="str">
        <v>Aerospace &amp; Defense</v>
      </c>
      <c r="L136" s="9" t="s">
        <v>18</v>
      </c>
      <c r="M136" s="9" t="s">
        <v>24</v>
      </c>
      <c r="N136" s="9" t="s">
        <v>63</v>
      </c>
    </row>
    <row r="137" spans="4:14">
      <c r="D137" s="9" t="str">
        <v>Data Scientist</v>
      </c>
      <c r="E137" s="9" t="str">
        <v>Nonprofit Organization</v>
      </c>
      <c r="F137" s="9" t="str">
        <v>Business Services</v>
      </c>
      <c r="L137" s="9" t="s">
        <v>112</v>
      </c>
      <c r="M137" s="9" t="s">
        <v>284</v>
      </c>
      <c r="N137" s="9" t="s">
        <v>86</v>
      </c>
    </row>
    <row r="138" spans="4:14">
      <c r="D138" s="9" t="str">
        <v>Data Engineer</v>
      </c>
      <c r="E138" s="9" t="str">
        <v>Company - Private</v>
      </c>
      <c r="F138" s="9" t="str">
        <v>Health Care</v>
      </c>
      <c r="L138" s="9" t="s">
        <v>112</v>
      </c>
      <c r="M138" s="9" t="s">
        <v>31</v>
      </c>
      <c r="N138" s="9" t="s">
        <v>33</v>
      </c>
    </row>
    <row r="139" spans="4:14">
      <c r="D139" s="9" t="str">
        <v>other</v>
      </c>
      <c r="E139" s="9" t="str">
        <v>Company - Private</v>
      </c>
      <c r="F139" s="9" t="str">
        <v>Transportation &amp; Logistics</v>
      </c>
      <c r="L139" s="9" t="s">
        <v>18</v>
      </c>
      <c r="M139" s="9" t="s">
        <v>284</v>
      </c>
      <c r="N139" s="9" t="s">
        <v>431</v>
      </c>
    </row>
    <row r="140" spans="4:14">
      <c r="D140" s="9" t="str">
        <v>Data Scientist</v>
      </c>
      <c r="E140" s="9" t="str">
        <v>Company - Public</v>
      </c>
      <c r="F140" s="9" t="str">
        <v>Telecommunications</v>
      </c>
      <c r="L140" s="9" t="s">
        <v>99</v>
      </c>
      <c r="M140" s="9" t="s">
        <v>31</v>
      </c>
      <c r="N140" s="9" t="s">
        <v>26</v>
      </c>
    </row>
    <row r="141" spans="4:14">
      <c r="D141" s="9" t="str">
        <v>Data Engineer</v>
      </c>
      <c r="E141" s="9" t="str">
        <v>Company - Private</v>
      </c>
      <c r="F141" s="9" t="str">
        <v>Media</v>
      </c>
      <c r="L141" s="9" t="s">
        <v>99</v>
      </c>
      <c r="M141" s="9" t="s">
        <v>24</v>
      </c>
      <c r="N141" s="9" t="s">
        <v>431</v>
      </c>
    </row>
    <row r="142" spans="4:14">
      <c r="D142" s="9" t="str">
        <v>other</v>
      </c>
      <c r="E142" s="9" t="str">
        <v>Nonprofit Organization</v>
      </c>
      <c r="F142" s="9" t="str">
        <v>Oil, Gas, Energy &amp; Utilities</v>
      </c>
      <c r="L142" s="9" t="s">
        <v>112</v>
      </c>
      <c r="M142" s="9" t="s">
        <v>284</v>
      </c>
      <c r="N142" s="9" t="s">
        <v>38</v>
      </c>
    </row>
    <row r="143" spans="4:14">
      <c r="D143" s="9" t="str">
        <v>Data Scientist</v>
      </c>
      <c r="E143" s="9" t="str">
        <v>Nonprofit Organization</v>
      </c>
      <c r="F143" s="9" t="str">
        <v>Government</v>
      </c>
      <c r="L143" s="9" t="s">
        <v>18</v>
      </c>
      <c r="M143" s="9" t="s">
        <v>31</v>
      </c>
      <c r="N143" s="9" t="s">
        <v>500</v>
      </c>
    </row>
    <row r="144" spans="4:14">
      <c r="D144" s="9" t="str">
        <v>other</v>
      </c>
      <c r="E144" s="9" t="str">
        <v>Subsidiary or Business Segment</v>
      </c>
      <c r="F144" s="9" t="str">
        <v>Biotech &amp; Pharmaceuticals</v>
      </c>
      <c r="L144" s="9" t="s">
        <v>99</v>
      </c>
      <c r="M144" s="9" t="s">
        <v>50</v>
      </c>
      <c r="N144" s="9" t="s">
        <v>33</v>
      </c>
    </row>
    <row r="145" spans="4:14">
      <c r="D145" s="9" t="str">
        <v>other</v>
      </c>
      <c r="E145" s="9" t="str">
        <v>Company - Private</v>
      </c>
      <c r="F145" s="9" t="str">
        <v>Business Services</v>
      </c>
      <c r="L145" s="9" t="s">
        <v>195</v>
      </c>
      <c r="M145" s="9" t="s">
        <v>50</v>
      </c>
      <c r="N145" s="9" t="s">
        <v>39</v>
      </c>
    </row>
    <row r="146" spans="4:14">
      <c r="D146" s="9" t="str">
        <v>Data Scientist</v>
      </c>
      <c r="E146" s="9" t="str">
        <v>Subsidiary or Business Segment</v>
      </c>
      <c r="F146" s="9" t="str">
        <v>Telecommunications</v>
      </c>
      <c r="L146" s="9" t="s">
        <v>99</v>
      </c>
      <c r="M146" s="9" t="s">
        <v>374</v>
      </c>
      <c r="N146" s="9" t="s">
        <v>86</v>
      </c>
    </row>
    <row r="147" spans="4:14">
      <c r="D147" s="9" t="str">
        <v>Data Analyst</v>
      </c>
      <c r="E147" s="9" t="str">
        <v>Company - Private</v>
      </c>
      <c r="F147" s="9" t="str">
        <v>Insurance</v>
      </c>
      <c r="L147" s="9" t="s">
        <v>99</v>
      </c>
      <c r="M147" s="9" t="s">
        <v>284</v>
      </c>
      <c r="N147" s="9" t="s">
        <v>102</v>
      </c>
    </row>
    <row r="148" spans="4:14">
      <c r="D148" s="9" t="str">
        <v>Data Analyst</v>
      </c>
      <c r="E148" s="9" t="str">
        <v>Nonprofit Organization</v>
      </c>
      <c r="F148" s="9" t="str">
        <v>Telecommunications</v>
      </c>
      <c r="L148" s="9" t="s">
        <v>103</v>
      </c>
      <c r="M148" s="9" t="s">
        <v>24</v>
      </c>
      <c r="N148" s="9" t="s">
        <v>63</v>
      </c>
    </row>
    <row r="149" spans="4:14">
      <c r="D149" s="9" t="str">
        <v>other</v>
      </c>
      <c r="E149" s="9" t="str">
        <v>Subsidiary or Business Segment</v>
      </c>
      <c r="F149" s="9" t="str">
        <v>Information Technology</v>
      </c>
      <c r="L149" s="9" t="s">
        <v>18</v>
      </c>
      <c r="M149" s="9" t="s">
        <v>50</v>
      </c>
      <c r="N149" s="9" t="s">
        <v>26</v>
      </c>
    </row>
    <row r="150" spans="4:14">
      <c r="D150" s="9" t="str">
        <v>Data Scientist</v>
      </c>
      <c r="E150" s="9" t="str">
        <v>Company - Private</v>
      </c>
      <c r="F150" s="9" t="str">
        <v>Real Estate</v>
      </c>
      <c r="L150" s="9" t="s">
        <v>112</v>
      </c>
      <c r="M150" s="9" t="s">
        <v>50</v>
      </c>
      <c r="N150" s="9" t="s">
        <v>86</v>
      </c>
    </row>
    <row r="151" spans="4:14">
      <c r="D151" s="9" t="str">
        <v>Data Analyst</v>
      </c>
      <c r="E151" s="9" t="str">
        <v>Company - Public</v>
      </c>
      <c r="F151" s="9" t="str">
        <v>Business Services</v>
      </c>
      <c r="L151" s="9" t="s">
        <v>18</v>
      </c>
      <c r="M151" s="9" t="s">
        <v>284</v>
      </c>
      <c r="N151" s="9" t="s">
        <v>33</v>
      </c>
    </row>
    <row r="152" spans="4:14">
      <c r="D152" s="9" t="str">
        <v>Data Engineer</v>
      </c>
      <c r="E152" s="9" t="str">
        <v>Company - Public</v>
      </c>
      <c r="F152" s="9" t="str">
        <v>Others</v>
      </c>
      <c r="L152" s="9" t="s">
        <v>103</v>
      </c>
      <c r="M152" s="9" t="s">
        <v>284</v>
      </c>
      <c r="N152" s="9" t="s">
        <v>38</v>
      </c>
    </row>
    <row r="153" spans="4:14">
      <c r="D153" s="9" t="str">
        <v>Data Analyst</v>
      </c>
      <c r="E153" s="9" t="str">
        <v>Other Organization</v>
      </c>
      <c r="F153" s="9" t="str">
        <v>Biotech &amp; Pharmaceuticals</v>
      </c>
      <c r="L153" s="9" t="s">
        <v>18</v>
      </c>
      <c r="M153" s="9" t="s">
        <v>50</v>
      </c>
      <c r="N153" s="9" t="s">
        <v>39</v>
      </c>
    </row>
    <row r="154" spans="4:14">
      <c r="D154" s="9" t="str">
        <v>Data Analyst</v>
      </c>
      <c r="E154" s="9" t="str">
        <v>Subsidiary or Business Segment</v>
      </c>
      <c r="F154" s="9" t="str">
        <v>Finance</v>
      </c>
      <c r="L154" s="9" t="s">
        <v>18</v>
      </c>
      <c r="M154" s="9" t="s">
        <v>31</v>
      </c>
      <c r="N154" s="9" t="s">
        <v>39</v>
      </c>
    </row>
    <row r="155" spans="4:14">
      <c r="D155" s="9" t="str">
        <v>Machine Learning Engineer</v>
      </c>
      <c r="E155" s="9" t="str">
        <v>Nonprofit Organization</v>
      </c>
      <c r="F155" s="9" t="str">
        <v>Government</v>
      </c>
      <c r="L155" s="9" t="s">
        <v>103</v>
      </c>
      <c r="M155" s="9" t="s">
        <v>50</v>
      </c>
      <c r="N155" s="9" t="s">
        <v>96</v>
      </c>
    </row>
    <row r="156" spans="4:14">
      <c r="D156" s="9" t="str">
        <v>Data Scientist</v>
      </c>
      <c r="E156" s="9" t="str">
        <v>Company - Public</v>
      </c>
      <c r="F156" s="9" t="str">
        <v>Insurance</v>
      </c>
      <c r="L156" s="9" t="s">
        <v>112</v>
      </c>
      <c r="M156" s="9" t="s">
        <v>50</v>
      </c>
      <c r="N156" s="9" t="s">
        <v>80</v>
      </c>
    </row>
    <row r="157" spans="4:14">
      <c r="D157" s="9" t="str">
        <v>other</v>
      </c>
      <c r="E157" s="9" t="str">
        <v>Company - Public</v>
      </c>
      <c r="F157" s="9" t="str">
        <v>Biotech &amp; Pharmaceuticals</v>
      </c>
      <c r="L157" s="9" t="s">
        <v>99</v>
      </c>
      <c r="M157" s="9" t="s">
        <v>50</v>
      </c>
      <c r="N157" s="9" t="s">
        <v>182</v>
      </c>
    </row>
    <row r="158" spans="4:14">
      <c r="D158" s="9" t="str">
        <v>Data Scientist</v>
      </c>
      <c r="E158" s="9" t="str">
        <v>Subsidiary or Business Segment</v>
      </c>
      <c r="F158" s="9" t="str">
        <v>Business Services</v>
      </c>
      <c r="L158" s="9" t="s">
        <v>112</v>
      </c>
      <c r="M158" s="9" t="s">
        <v>24</v>
      </c>
      <c r="N158" s="9" t="s">
        <v>33</v>
      </c>
    </row>
    <row r="159" spans="4:14">
      <c r="D159" s="9" t="str">
        <v>Machine Learning Engineer</v>
      </c>
      <c r="E159" s="9" t="str">
        <v>Subsidiary or Business Segment</v>
      </c>
      <c r="F159" s="9" t="str">
        <v>Information Technology</v>
      </c>
      <c r="L159" s="9" t="s">
        <v>112</v>
      </c>
      <c r="M159" s="9" t="s">
        <v>50</v>
      </c>
      <c r="N159" s="9" t="s">
        <v>102</v>
      </c>
    </row>
    <row r="160" spans="4:14">
      <c r="D160" s="9" t="str">
        <v>Data Scientist</v>
      </c>
      <c r="E160" s="9" t="str">
        <v>Company - Public</v>
      </c>
      <c r="F160" s="9" t="str">
        <v>Others</v>
      </c>
      <c r="L160" s="9" t="s">
        <v>18</v>
      </c>
      <c r="M160" s="9" t="s">
        <v>50</v>
      </c>
      <c r="N160" s="9" t="s">
        <v>267</v>
      </c>
    </row>
    <row r="161" spans="4:14">
      <c r="D161" s="9" t="str">
        <v>Data Scientist</v>
      </c>
      <c r="E161" s="9" t="str">
        <v>Company - Private</v>
      </c>
      <c r="F161" s="9" t="str">
        <v>Others</v>
      </c>
      <c r="L161" s="9" t="s">
        <v>112</v>
      </c>
      <c r="M161" s="9" t="s">
        <v>31</v>
      </c>
      <c r="N161" s="9" t="s">
        <v>96</v>
      </c>
    </row>
    <row r="162" spans="4:14">
      <c r="D162" s="9" t="str">
        <v>Machine Learning Engineer</v>
      </c>
      <c r="E162" s="9" t="str">
        <v>Company - Public</v>
      </c>
      <c r="F162" s="9" t="str">
        <v>Aerospace &amp; Defense</v>
      </c>
      <c r="L162" s="9" t="s">
        <v>18</v>
      </c>
      <c r="M162" s="9" t="s">
        <v>31</v>
      </c>
      <c r="N162" s="9" t="s">
        <v>402</v>
      </c>
    </row>
    <row r="163" spans="4:14">
      <c r="D163" s="9" t="str">
        <v>other</v>
      </c>
      <c r="E163" s="9" t="str">
        <v>Company - Public</v>
      </c>
      <c r="F163" s="9" t="str">
        <v>Manufacturing</v>
      </c>
      <c r="L163" s="9" t="s">
        <v>18</v>
      </c>
      <c r="M163" s="9" t="s">
        <v>546</v>
      </c>
      <c r="N163" s="9" t="s">
        <v>39</v>
      </c>
    </row>
    <row r="164" spans="4:14">
      <c r="D164" s="9" t="str">
        <v>Data Analyst</v>
      </c>
      <c r="E164" s="9" t="str">
        <v>Company - Public</v>
      </c>
      <c r="F164" s="9" t="str">
        <v>Oil, Gas, Energy &amp; Utilities</v>
      </c>
      <c r="L164" s="9" t="s">
        <v>112</v>
      </c>
      <c r="M164" s="9" t="s">
        <v>74</v>
      </c>
      <c r="N164" s="9" t="s">
        <v>33</v>
      </c>
    </row>
    <row r="165" spans="4:14">
      <c r="D165" s="9" t="str">
        <v>other</v>
      </c>
      <c r="E165" s="9" t="str">
        <v>Nonprofit Organization</v>
      </c>
      <c r="F165" s="9" t="str">
        <v>Business Services</v>
      </c>
      <c r="L165" s="9" t="s">
        <v>18</v>
      </c>
      <c r="M165" s="9" t="s">
        <v>24</v>
      </c>
      <c r="N165" s="9" t="s">
        <v>86</v>
      </c>
    </row>
    <row r="166" spans="4:14">
      <c r="D166" s="9" t="str">
        <v>other</v>
      </c>
      <c r="E166" s="9" t="str">
        <v>Company - Public</v>
      </c>
      <c r="F166" s="9" t="str">
        <v>Finance</v>
      </c>
      <c r="L166" s="9" t="s">
        <v>18</v>
      </c>
      <c r="M166" s="9" t="s">
        <v>50</v>
      </c>
      <c r="N166" s="9" t="s">
        <v>500</v>
      </c>
    </row>
    <row r="167" spans="4:14">
      <c r="D167" s="9" t="str">
        <v>Data Scientist</v>
      </c>
      <c r="E167" s="9" t="str">
        <v>Company - Public</v>
      </c>
      <c r="F167" s="9" t="str">
        <v>Transportation &amp; Logistics</v>
      </c>
      <c r="L167" s="9" t="s">
        <v>18</v>
      </c>
      <c r="M167" s="9" t="s">
        <v>50</v>
      </c>
      <c r="N167" s="9" t="s">
        <v>402</v>
      </c>
    </row>
    <row r="168" spans="4:14">
      <c r="D168" s="9" t="str">
        <v>other</v>
      </c>
      <c r="E168" s="9" t="str">
        <v>Company - Private</v>
      </c>
      <c r="F168" s="9" t="str">
        <v>Aerospace &amp; Defense</v>
      </c>
      <c r="L168" s="9" t="s">
        <v>18</v>
      </c>
      <c r="M168" s="9" t="s">
        <v>31</v>
      </c>
      <c r="N168" s="9" t="s">
        <v>92</v>
      </c>
    </row>
    <row r="169" spans="4:14">
      <c r="D169" s="9" t="str">
        <v>Data Scientist</v>
      </c>
      <c r="E169" s="9" t="str">
        <v>Company - Private</v>
      </c>
      <c r="F169" s="9" t="str">
        <v>Media</v>
      </c>
      <c r="L169" s="9" t="s">
        <v>18</v>
      </c>
      <c r="M169" s="9" t="s">
        <v>736</v>
      </c>
      <c r="N169" s="9" t="s">
        <v>205</v>
      </c>
    </row>
    <row r="170" spans="4:14">
      <c r="D170" s="9" t="str">
        <v>Data Scientist</v>
      </c>
      <c r="E170" s="9" t="str">
        <v>Unknown</v>
      </c>
      <c r="F170" s="9" t="str">
        <v>Others</v>
      </c>
      <c r="L170" s="9" t="s">
        <v>18</v>
      </c>
      <c r="M170" s="9" t="s">
        <v>31</v>
      </c>
      <c r="N170" s="9" t="s">
        <v>743</v>
      </c>
    </row>
    <row r="171" spans="4:14">
      <c r="D171" s="9" t="str">
        <v>other</v>
      </c>
      <c r="E171" s="9" t="str">
        <v>Private Practice / Firm</v>
      </c>
      <c r="F171" s="9" t="str">
        <v>Business Services</v>
      </c>
      <c r="L171" s="9" t="s">
        <v>18</v>
      </c>
      <c r="M171" s="9" t="s">
        <v>50</v>
      </c>
      <c r="N171" s="9" t="s">
        <v>102</v>
      </c>
    </row>
    <row r="172" spans="4:14">
      <c r="D172" s="9" t="str">
        <v>Data Scientist</v>
      </c>
      <c r="E172" s="9" t="str">
        <v>Nonprofit Organization</v>
      </c>
      <c r="F172" s="9" t="str">
        <v>Biotech &amp; Pharmaceuticals</v>
      </c>
      <c r="L172" s="9" t="s">
        <v>103</v>
      </c>
      <c r="M172" s="9" t="s">
        <v>31</v>
      </c>
      <c r="N172" s="9" t="s">
        <v>102</v>
      </c>
    </row>
    <row r="173" spans="4:14">
      <c r="D173" s="9" t="str">
        <v>Data Scientist</v>
      </c>
      <c r="E173" s="9" t="str">
        <v>Company - Public</v>
      </c>
      <c r="F173" s="9" t="str">
        <v>Real Estate</v>
      </c>
      <c r="L173" s="9" t="s">
        <v>18</v>
      </c>
      <c r="M173" s="9" t="s">
        <v>800</v>
      </c>
      <c r="N173" s="9" t="s">
        <v>802</v>
      </c>
    </row>
    <row r="174" spans="4:14">
      <c r="D174" s="9" t="str">
        <v>Data Scientist</v>
      </c>
      <c r="E174" s="9" t="str">
        <v>Company - Public</v>
      </c>
      <c r="F174" s="9" t="str">
        <v>Media</v>
      </c>
      <c r="L174" s="9" t="s">
        <v>103</v>
      </c>
      <c r="M174" s="9" t="s">
        <v>809</v>
      </c>
      <c r="N174" s="9" t="s">
        <v>811</v>
      </c>
    </row>
    <row r="175" spans="4:14">
      <c r="D175" s="9" t="str">
        <v>Data Scientist</v>
      </c>
      <c r="E175" s="9" t="str">
        <v>Company - Private</v>
      </c>
      <c r="F175" s="9" t="str">
        <v>Retail</v>
      </c>
      <c r="L175" s="9" t="s">
        <v>195</v>
      </c>
      <c r="M175" s="9" t="s">
        <v>50</v>
      </c>
      <c r="N175" s="9" t="s">
        <v>38</v>
      </c>
    </row>
    <row r="176" spans="4:14">
      <c r="D176" s="9" t="str">
        <v>Data Scientist</v>
      </c>
      <c r="E176" s="9" t="str">
        <v>Hospital</v>
      </c>
      <c r="F176" s="9" t="str">
        <v>Health Care</v>
      </c>
      <c r="L176" s="9" t="s">
        <v>18</v>
      </c>
      <c r="M176" s="9" t="s">
        <v>284</v>
      </c>
      <c r="N176" s="9" t="s">
        <v>38</v>
      </c>
    </row>
    <row r="177" spans="4:14">
      <c r="D177" s="9" t="str">
        <v>Data Scientist</v>
      </c>
      <c r="E177" s="9" t="str">
        <v>Company - Private</v>
      </c>
      <c r="F177" s="9" t="str">
        <v>Travel &amp; Tourism</v>
      </c>
      <c r="L177" s="9" t="s">
        <v>112</v>
      </c>
      <c r="M177" s="9" t="s">
        <v>24</v>
      </c>
      <c r="N177" s="9" t="s">
        <v>96</v>
      </c>
    </row>
    <row r="178" spans="4:14">
      <c r="D178" s="9" t="str">
        <v>Data Scientist</v>
      </c>
      <c r="E178" s="9" t="str">
        <v>Company - Public</v>
      </c>
      <c r="F178" s="9" t="str">
        <v>Finance</v>
      </c>
      <c r="L178" s="9" t="s">
        <v>103</v>
      </c>
      <c r="M178" s="9" t="s">
        <v>24</v>
      </c>
      <c r="N178" s="9" t="s">
        <v>33</v>
      </c>
    </row>
    <row r="179" spans="4:14">
      <c r="D179" s="9" t="str">
        <v>Machine Learning Engineer</v>
      </c>
      <c r="E179" s="9" t="str">
        <v>Company - Private</v>
      </c>
      <c r="F179" s="9" t="str">
        <v>Finance</v>
      </c>
      <c r="L179" s="9" t="s">
        <v>18</v>
      </c>
      <c r="M179" s="9" t="s">
        <v>284</v>
      </c>
      <c r="N179" s="9" t="s">
        <v>182</v>
      </c>
    </row>
    <row r="180" spans="4:14">
      <c r="D180" s="9" t="str">
        <v>Data Scientist</v>
      </c>
      <c r="E180" s="9" t="str">
        <v>Self-employed</v>
      </c>
      <c r="F180" s="9" t="str">
        <v>Agriculture &amp; Forestry</v>
      </c>
      <c r="L180" s="9" t="s">
        <v>112</v>
      </c>
      <c r="M180" s="9" t="s">
        <v>857</v>
      </c>
      <c r="N180" s="9" t="s">
        <v>38</v>
      </c>
    </row>
    <row r="181" spans="4:14">
      <c r="D181" s="9" t="str">
        <v>Machine Learning Engineer</v>
      </c>
      <c r="E181" s="9" t="str">
        <v>College / University</v>
      </c>
      <c r="F181" s="9" t="str">
        <v>Education</v>
      </c>
      <c r="L181" s="9" t="s">
        <v>195</v>
      </c>
      <c r="M181" s="9" t="s">
        <v>50</v>
      </c>
      <c r="N181" s="9" t="s">
        <v>26</v>
      </c>
    </row>
    <row r="182" spans="4:14">
      <c r="D182" s="9" t="str">
        <v>Data Engineer</v>
      </c>
      <c r="E182" s="9" t="str">
        <v>Company - Public</v>
      </c>
      <c r="F182" s="9" t="str">
        <v>Information Technology</v>
      </c>
      <c r="L182" s="9" t="s">
        <v>99</v>
      </c>
      <c r="M182" s="9" t="s">
        <v>284</v>
      </c>
      <c r="N182" s="9" t="s">
        <v>38</v>
      </c>
    </row>
    <row r="183" spans="4:14">
      <c r="D183" s="9" t="str">
        <v>Data Scientist</v>
      </c>
      <c r="E183" s="9" t="str">
        <v>Subsidiary or Business Segment</v>
      </c>
      <c r="F183" s="9" t="str">
        <v>Information Technology</v>
      </c>
      <c r="L183" s="9" t="s">
        <v>195</v>
      </c>
      <c r="M183" s="9" t="s">
        <v>31</v>
      </c>
      <c r="N183" s="9" t="s">
        <v>63</v>
      </c>
    </row>
    <row r="184" spans="4:14">
      <c r="D184" s="9" t="str">
        <v>other</v>
      </c>
      <c r="E184" s="9" t="str">
        <v>Nonprofit Organization</v>
      </c>
      <c r="F184" s="9" t="str">
        <v>Aerospace &amp; Defense</v>
      </c>
      <c r="L184" s="9" t="s">
        <v>195</v>
      </c>
      <c r="M184" s="9" t="s">
        <v>374</v>
      </c>
      <c r="N184" s="9" t="s">
        <v>102</v>
      </c>
    </row>
    <row r="185" spans="4:14">
      <c r="D185" s="9" t="str">
        <v>Machine Learning Engineer</v>
      </c>
      <c r="E185" s="9" t="str">
        <v>Nonprofit Organization</v>
      </c>
      <c r="F185" s="9" t="str">
        <v>Business Services</v>
      </c>
      <c r="L185" s="9" t="s">
        <v>112</v>
      </c>
      <c r="M185" s="9" t="s">
        <v>50</v>
      </c>
      <c r="N185" s="9" t="s">
        <v>205</v>
      </c>
    </row>
    <row r="186" spans="4:14">
      <c r="D186" s="9" t="str">
        <v>Data Scientist</v>
      </c>
      <c r="E186" s="9" t="str">
        <v>Subsidiary or Business Segment</v>
      </c>
      <c r="F186" s="9" t="str">
        <v>Oil, Gas, Energy &amp; Utilities</v>
      </c>
      <c r="L186" s="9" t="s">
        <v>99</v>
      </c>
      <c r="M186" s="9" t="s">
        <v>31</v>
      </c>
      <c r="N186" s="9" t="s">
        <v>205</v>
      </c>
    </row>
    <row r="187" spans="4:14">
      <c r="D187" s="9" t="str">
        <v>other</v>
      </c>
      <c r="E187" s="9" t="str">
        <v>Contract</v>
      </c>
      <c r="F187" s="9" t="str">
        <v>Information Technology</v>
      </c>
      <c r="L187" s="9" t="s">
        <v>18</v>
      </c>
      <c r="M187" s="9" t="s">
        <v>31</v>
      </c>
      <c r="N187" s="9" t="s">
        <v>917</v>
      </c>
    </row>
    <row r="188" spans="4:14">
      <c r="D188" s="9" t="str">
        <v>Data Engineer</v>
      </c>
      <c r="E188" s="9" t="str">
        <v>Company - Public</v>
      </c>
      <c r="F188" s="9" t="str">
        <v>Insurance</v>
      </c>
      <c r="L188" s="9" t="s">
        <v>18</v>
      </c>
      <c r="M188" s="9" t="s">
        <v>31</v>
      </c>
      <c r="N188" s="9" t="s">
        <v>802</v>
      </c>
    </row>
    <row r="189" spans="4:14">
      <c r="D189" s="9" t="str">
        <v>Data Analyst</v>
      </c>
      <c r="E189" s="9" t="str">
        <v>Subsidiary or Business Segment</v>
      </c>
      <c r="F189" s="9" t="str">
        <v>Information Technology</v>
      </c>
      <c r="L189" s="9" t="s">
        <v>18</v>
      </c>
      <c r="M189" s="9" t="s">
        <v>74</v>
      </c>
      <c r="N189" s="9" t="s">
        <v>205</v>
      </c>
    </row>
    <row r="190" spans="4:14">
      <c r="D190" s="9" t="str">
        <v>Data Engineer</v>
      </c>
      <c r="E190" s="9" t="str">
        <v>Company - Private</v>
      </c>
      <c r="F190" s="9" t="str">
        <v>Government</v>
      </c>
      <c r="L190" s="9" t="s">
        <v>18</v>
      </c>
      <c r="M190" s="9" t="s">
        <v>31</v>
      </c>
      <c r="N190" s="9" t="s">
        <v>431</v>
      </c>
    </row>
    <row r="191" spans="4:14">
      <c r="D191" s="9" t="str">
        <v>Data Engineer</v>
      </c>
      <c r="E191" s="9" t="str">
        <v>Other Organization</v>
      </c>
      <c r="F191" s="9" t="str">
        <v>Finance</v>
      </c>
      <c r="L191" s="9" t="s">
        <v>18</v>
      </c>
      <c r="M191" s="9" t="s">
        <v>24</v>
      </c>
      <c r="N191" s="9" t="s">
        <v>205</v>
      </c>
    </row>
    <row r="192" spans="4:14">
      <c r="D192" s="9" t="str">
        <v>other</v>
      </c>
      <c r="E192" s="9" t="str">
        <v>Company - Public</v>
      </c>
      <c r="F192" s="9" t="str">
        <v>Health Care</v>
      </c>
      <c r="L192" s="9" t="s">
        <v>18</v>
      </c>
      <c r="M192" s="9" t="s">
        <v>24</v>
      </c>
      <c r="N192" s="9" t="s">
        <v>979</v>
      </c>
    </row>
    <row r="193" spans="4:14">
      <c r="D193" s="9" t="str">
        <v>Data Analyst</v>
      </c>
      <c r="E193" s="9" t="str">
        <v>Company - Private</v>
      </c>
      <c r="F193" s="9" t="str">
        <v>Health Care</v>
      </c>
      <c r="L193" s="9" t="s">
        <v>18</v>
      </c>
      <c r="M193" s="9" t="s">
        <v>31</v>
      </c>
      <c r="N193" s="9" t="s">
        <v>985</v>
      </c>
    </row>
    <row r="194" spans="4:14">
      <c r="D194" s="9" t="str">
        <v>Data Scientist</v>
      </c>
      <c r="E194" s="9" t="str">
        <v>Company - Private</v>
      </c>
      <c r="F194" s="9" t="str">
        <v>Accounting &amp; Legal</v>
      </c>
      <c r="L194" s="9" t="s">
        <v>18</v>
      </c>
      <c r="M194" s="9" t="s">
        <v>63</v>
      </c>
      <c r="N194" s="9" t="s">
        <v>39</v>
      </c>
    </row>
    <row r="195" spans="4:14">
      <c r="D195" s="9" t="str">
        <v>Data Scientist</v>
      </c>
      <c r="E195" s="9" t="str">
        <v>Company - Private</v>
      </c>
      <c r="F195" s="9" t="str">
        <v>Agriculture &amp; Forestry</v>
      </c>
      <c r="L195" s="9" t="s">
        <v>18</v>
      </c>
      <c r="M195" s="9" t="s">
        <v>31</v>
      </c>
      <c r="N195" s="9" t="s">
        <v>1029</v>
      </c>
    </row>
    <row r="196" spans="4:14">
      <c r="D196" s="9" t="str">
        <v>Data Scientist</v>
      </c>
      <c r="E196" s="9" t="str">
        <v>Private Practice / Firm</v>
      </c>
      <c r="F196" s="9" t="str">
        <v>Health Care</v>
      </c>
      <c r="L196" s="9" t="s">
        <v>103</v>
      </c>
      <c r="M196" s="9" t="s">
        <v>50</v>
      </c>
      <c r="N196" s="9" t="s">
        <v>38</v>
      </c>
    </row>
    <row r="197" spans="4:14">
      <c r="D197" s="9" t="str">
        <v>Data Scientist</v>
      </c>
      <c r="E197" s="9" t="str">
        <v>Company - Private</v>
      </c>
      <c r="F197" s="9" t="str">
        <v>Telecommunications</v>
      </c>
      <c r="L197" s="9" t="s">
        <v>112</v>
      </c>
      <c r="M197" s="9" t="s">
        <v>31</v>
      </c>
      <c r="N197" s="9" t="s">
        <v>102</v>
      </c>
    </row>
    <row r="198" spans="4:14">
      <c r="D198" s="9" t="str">
        <v>Data Scientist</v>
      </c>
      <c r="E198" s="9" t="str">
        <v>Nonprofit Organization</v>
      </c>
      <c r="F198" s="9" t="str">
        <v>Health Care</v>
      </c>
      <c r="L198" s="9" t="s">
        <v>18</v>
      </c>
      <c r="M198" s="9" t="s">
        <v>857</v>
      </c>
      <c r="N198" s="9" t="s">
        <v>38</v>
      </c>
    </row>
    <row r="199" spans="4:14">
      <c r="D199" s="9" t="str">
        <v>Data Scientist</v>
      </c>
      <c r="E199" s="9" t="str">
        <v>Nonprofit Organization</v>
      </c>
      <c r="F199" s="9" t="str">
        <v>Non-Profit</v>
      </c>
      <c r="L199" s="9" t="s">
        <v>99</v>
      </c>
      <c r="M199" s="9" t="s">
        <v>24</v>
      </c>
      <c r="N199" s="9" t="s">
        <v>33</v>
      </c>
    </row>
    <row r="200" spans="4:14">
      <c r="D200" s="9" t="str">
        <v>Data Scientist</v>
      </c>
      <c r="E200" s="9" t="str">
        <v>Company - Private</v>
      </c>
      <c r="F200" s="9" t="str">
        <v>Construction, Repair &amp; Maintenance</v>
      </c>
      <c r="L200" s="9" t="s">
        <v>112</v>
      </c>
      <c r="M200" s="9" t="s">
        <v>50</v>
      </c>
      <c r="N200" s="9" t="s">
        <v>38</v>
      </c>
    </row>
    <row r="201" spans="4:14">
      <c r="D201" s="9" t="str">
        <v>Data Scientist</v>
      </c>
      <c r="E201" s="9" t="str">
        <v>Government</v>
      </c>
      <c r="F201" s="9" t="str">
        <v>Others</v>
      </c>
      <c r="L201" s="9" t="s">
        <v>195</v>
      </c>
      <c r="M201" s="9" t="s">
        <v>31</v>
      </c>
      <c r="N201" s="9" t="s">
        <v>80</v>
      </c>
    </row>
    <row r="202" spans="4:14">
      <c r="D202" s="9" t="str">
        <v>Data Scientist</v>
      </c>
      <c r="E202" s="9" t="str">
        <v>Company - Private</v>
      </c>
      <c r="F202" s="9" t="str">
        <v>Consumer Services</v>
      </c>
      <c r="L202" s="9" t="s">
        <v>112</v>
      </c>
      <c r="M202" s="9" t="s">
        <v>809</v>
      </c>
      <c r="N202" s="9" t="s">
        <v>811</v>
      </c>
    </row>
    <row r="203" spans="4:14">
      <c r="D203" s="9" t="str">
        <v>Machine Learning Engineer</v>
      </c>
      <c r="E203" s="9" t="str">
        <v>Company - Public</v>
      </c>
      <c r="F203" s="9" t="str">
        <v>Information Technology</v>
      </c>
      <c r="L203" s="9" t="s">
        <v>99</v>
      </c>
      <c r="M203" s="9" t="s">
        <v>374</v>
      </c>
      <c r="N203" s="9" t="s">
        <v>102</v>
      </c>
    </row>
    <row r="204" spans="4:14">
      <c r="D204" s="9" t="str">
        <v>other</v>
      </c>
      <c r="E204" s="9" t="str">
        <v>Company - Private</v>
      </c>
      <c r="F204" s="9" t="str">
        <v>Finance</v>
      </c>
      <c r="L204" s="9" t="s">
        <v>112</v>
      </c>
      <c r="M204" s="9" t="s">
        <v>50</v>
      </c>
      <c r="N204" s="9" t="s">
        <v>39</v>
      </c>
    </row>
    <row r="205" spans="4:14">
      <c r="D205" s="9" t="str">
        <v>Data Scientist</v>
      </c>
      <c r="E205" s="9" t="str">
        <v>Contract</v>
      </c>
      <c r="F205" s="9" t="str">
        <v>Information Technology</v>
      </c>
      <c r="L205" s="9" t="s">
        <v>112</v>
      </c>
      <c r="M205" s="9" t="s">
        <v>63</v>
      </c>
      <c r="N205" s="9" t="s">
        <v>63</v>
      </c>
    </row>
    <row r="206" spans="4:14">
      <c r="D206" s="9" t="str">
        <v>Data Analyst</v>
      </c>
      <c r="E206" s="9" t="str">
        <v>Nonprofit Organization</v>
      </c>
      <c r="F206" s="9" t="str">
        <v>Business Services</v>
      </c>
      <c r="L206" s="9" t="s">
        <v>195</v>
      </c>
      <c r="M206" s="9" t="s">
        <v>50</v>
      </c>
      <c r="N206" s="9" t="s">
        <v>96</v>
      </c>
    </row>
    <row r="207" spans="4:14">
      <c r="D207" s="9" t="str">
        <v>other</v>
      </c>
      <c r="E207" s="9" t="str">
        <v>Company - Public</v>
      </c>
      <c r="F207" s="9" t="str">
        <v>Information Technology</v>
      </c>
      <c r="L207" s="9" t="s">
        <v>18</v>
      </c>
      <c r="M207" s="9" t="s">
        <v>284</v>
      </c>
      <c r="N207" s="9" t="s">
        <v>267</v>
      </c>
    </row>
    <row r="208" spans="4:14">
      <c r="D208" s="9" t="str">
        <v>Data Engineer</v>
      </c>
      <c r="E208" s="9" t="str">
        <v>Company - Private</v>
      </c>
      <c r="F208" s="9" t="str">
        <v>Manufacturing</v>
      </c>
      <c r="L208" s="9" t="s">
        <v>195</v>
      </c>
      <c r="M208" s="9" t="s">
        <v>31</v>
      </c>
      <c r="N208" s="9" t="s">
        <v>26</v>
      </c>
    </row>
    <row r="209" spans="4:6">
      <c r="D209" s="9" t="str">
        <v>other</v>
      </c>
      <c r="E209" s="9" t="str">
        <v>College / University</v>
      </c>
      <c r="F209" s="9" t="str">
        <v>Education</v>
      </c>
    </row>
    <row r="210" spans="4:6">
      <c r="D210" s="9" t="str">
        <v>Data Analyst</v>
      </c>
      <c r="E210" s="9" t="str">
        <v>Other Organization</v>
      </c>
      <c r="F210" s="9" t="str">
        <v>Finance</v>
      </c>
    </row>
    <row r="211" spans="4:6">
      <c r="D211" s="9" t="str">
        <v>other</v>
      </c>
      <c r="E211" s="9" t="str">
        <v>Company - Public</v>
      </c>
      <c r="F211" s="9" t="str">
        <v>Others</v>
      </c>
    </row>
    <row r="212" spans="4:6">
      <c r="D212" s="9" t="str">
        <v>other</v>
      </c>
      <c r="E212" s="9" t="str">
        <v>Government</v>
      </c>
      <c r="F212" s="9" t="str">
        <v>Government</v>
      </c>
    </row>
    <row r="213" spans="4:6">
      <c r="D213" s="9" t="str">
        <v>Data Engineer</v>
      </c>
      <c r="E213" s="9" t="str">
        <v>Company - Public</v>
      </c>
      <c r="F213" s="9" t="str">
        <v>Aerospace &amp; Defense</v>
      </c>
    </row>
    <row r="214" spans="4:6">
      <c r="D214" s="9" t="str">
        <v>Data Scientist</v>
      </c>
      <c r="E214" s="9" t="str">
        <v>Subsidiary or Business Segment</v>
      </c>
      <c r="F214" s="9" t="str">
        <v>Transportation &amp; Logistics</v>
      </c>
    </row>
    <row r="215" spans="4:6">
      <c r="D215" s="9" t="str">
        <v>Data Engineer</v>
      </c>
      <c r="E215" s="9" t="str">
        <v>Company - Private</v>
      </c>
      <c r="F215" s="9" t="str">
        <v>Insurance</v>
      </c>
    </row>
  </sheetData>
  <mergeCells count="1">
    <mergeCell ref="A1:K2"/>
  </mergeCells>
  <pageMargins left="0.70866141732283472" right="0.70866141732283472" top="0.74803149606299213" bottom="0.74803149606299213" header="0.31496062992125984" footer="0.31496062992125984"/>
  <pageSetup paperSize="5" orientation="landscape" r:id="rId1"/>
  <drawing r:id="rId2"/>
  <legacyDrawing r:id="rId3"/>
  <controls>
    <mc:AlternateContent xmlns:mc="http://schemas.openxmlformats.org/markup-compatibility/2006">
      <mc:Choice Requires="x14">
        <control shapeId="2050" r:id="rId4" name="TextBox1">
          <controlPr defaultSize="0" autoLine="0" linkedCell="D81" r:id="rId5">
            <anchor moveWithCells="1">
              <from>
                <xdr:col>2</xdr:col>
                <xdr:colOff>133350</xdr:colOff>
                <xdr:row>78</xdr:row>
                <xdr:rowOff>9525</xdr:rowOff>
              </from>
              <to>
                <xdr:col>5</xdr:col>
                <xdr:colOff>2238375</xdr:colOff>
                <xdr:row>79</xdr:row>
                <xdr:rowOff>47625</xdr:rowOff>
              </to>
            </anchor>
          </controlPr>
        </control>
      </mc:Choice>
      <mc:Fallback>
        <control shapeId="2050" r:id="rId4" name="TextBox1"/>
      </mc:Fallback>
    </mc:AlternateContent>
  </controls>
  <tableParts count="1">
    <tablePart r:id="rId6"/>
  </tableParts>
  <extLst>
    <ext xmlns:x14="http://schemas.microsoft.com/office/spreadsheetml/2009/9/main" uri="{A8765BA9-456A-4dab-B4F3-ACF838C121DE}">
      <x14:slicerList>
        <x14:slicer r:id="rId7"/>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A50E0BA-949E-4124-93AB-9A1F79A2DA9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States</vt:lpstr>
      <vt:lpstr>Sal by State</vt:lpstr>
      <vt:lpstr>Sal By Role Type</vt:lpstr>
      <vt:lpstr>Sal by Role Size</vt:lpstr>
      <vt:lpstr>Sal by Sector</vt:lpstr>
      <vt:lpstr>Job Title by Sector</vt:lpstr>
      <vt:lpstr>Cleaned Data</vt:lpstr>
      <vt:lpstr>Analysis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Info ideas2inspire.com</dc:creator>
  <cp:lastModifiedBy>Info ideas2inspire.com</cp:lastModifiedBy>
  <dcterms:created xsi:type="dcterms:W3CDTF">2025-03-12T13:50:46Z</dcterms:created>
  <dcterms:modified xsi:type="dcterms:W3CDTF">2025-03-15T03:30:49Z</dcterms:modified>
</cp:coreProperties>
</file>